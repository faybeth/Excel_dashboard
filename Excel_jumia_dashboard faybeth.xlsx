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haron\Desktop\"/>
    </mc:Choice>
  </mc:AlternateContent>
  <xr:revisionPtr revIDLastSave="0" documentId="8_{15F0B188-5993-4D2B-B03E-8E9AB1207910}" xr6:coauthVersionLast="47" xr6:coauthVersionMax="47" xr10:uidLastSave="{00000000-0000-0000-0000-000000000000}"/>
  <bookViews>
    <workbookView xWindow="-108" yWindow="-108" windowWidth="23256" windowHeight="12456" firstSheet="7" activeTab="9" xr2:uid="{A5C5E897-53A1-45B9-8216-B6437E278C2C}"/>
  </bookViews>
  <sheets>
    <sheet name="Excel_jumia (1)" sheetId="1" r:id="rId1"/>
    <sheet name="product(avg disc&amp;rating" sheetId="6" r:id="rId2"/>
    <sheet name="product(disc)" sheetId="13" r:id="rId3"/>
    <sheet name="product(review)" sheetId="14" r:id="rId4"/>
    <sheet name="avg rating&amp;review(prod)" sheetId="15" r:id="rId5"/>
    <sheet name="avg revie(product)" sheetId="19" r:id="rId6"/>
    <sheet name="Sheet2" sheetId="3" r:id="rId7"/>
    <sheet name="Dashboard" sheetId="17" r:id="rId8"/>
    <sheet name="Tables" sheetId="9" r:id="rId9"/>
    <sheet name="5 high ratin" sheetId="10" r:id="rId10"/>
    <sheet name="5 low rating" sheetId="11" r:id="rId11"/>
    <sheet name="analysis(rating$reviews" sheetId="8" r:id="rId12"/>
    <sheet name="analysis(disc$reviews" sheetId="7" r:id="rId13"/>
    <sheet name="KPIs" sheetId="4" r:id="rId14"/>
  </sheets>
  <definedNames>
    <definedName name="Slicer_Discount_category">#N/A</definedName>
    <definedName name="Slicer_Product_category">#N/A</definedName>
    <definedName name="Slicer_Ratings_category">#N/A</definedName>
  </definedNames>
  <calcPr calcId="191029"/>
  <pivotCaches>
    <pivotCache cacheId="2"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3" i="8" l="1"/>
  <c r="K26" i="7"/>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2" i="3"/>
  <c r="E2" i="4"/>
  <c r="G113" i="3"/>
  <c r="G112" i="3"/>
  <c r="G111" i="3"/>
  <c r="G110" i="3"/>
  <c r="G109" i="3"/>
  <c r="G108" i="3"/>
  <c r="G107" i="3"/>
  <c r="G106" i="3"/>
  <c r="G105" i="3"/>
  <c r="G104" i="3"/>
  <c r="G103" i="3"/>
  <c r="G102" i="3"/>
  <c r="G101" i="3"/>
  <c r="G100" i="3"/>
  <c r="G99" i="3"/>
  <c r="G98" i="3"/>
  <c r="G97"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G4" i="3"/>
  <c r="G3" i="3"/>
  <c r="G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2" i="3"/>
  <c r="J3" i="3"/>
  <c r="K3" i="3" s="1"/>
  <c r="J4" i="3"/>
  <c r="K4" i="3" s="1"/>
  <c r="J5" i="3"/>
  <c r="K5" i="3" s="1"/>
  <c r="J6" i="3"/>
  <c r="K6" i="3" s="1"/>
  <c r="J7" i="3"/>
  <c r="K7" i="3" s="1"/>
  <c r="J8" i="3"/>
  <c r="K8" i="3" s="1"/>
  <c r="J9" i="3"/>
  <c r="K9" i="3" s="1"/>
  <c r="J10" i="3"/>
  <c r="K10" i="3" s="1"/>
  <c r="J11" i="3"/>
  <c r="K11" i="3" s="1"/>
  <c r="J12" i="3"/>
  <c r="K12" i="3" s="1"/>
  <c r="J13" i="3"/>
  <c r="K13" i="3" s="1"/>
  <c r="J14" i="3"/>
  <c r="K14" i="3" s="1"/>
  <c r="J15" i="3"/>
  <c r="K15" i="3" s="1"/>
  <c r="J16" i="3"/>
  <c r="K16" i="3" s="1"/>
  <c r="J17" i="3"/>
  <c r="K17" i="3" s="1"/>
  <c r="J18" i="3"/>
  <c r="K18" i="3" s="1"/>
  <c r="J19" i="3"/>
  <c r="K19" i="3" s="1"/>
  <c r="J20" i="3"/>
  <c r="K20" i="3" s="1"/>
  <c r="J21" i="3"/>
  <c r="K21" i="3" s="1"/>
  <c r="J22" i="3"/>
  <c r="K22" i="3" s="1"/>
  <c r="J23" i="3"/>
  <c r="K23" i="3" s="1"/>
  <c r="J24" i="3"/>
  <c r="K24" i="3" s="1"/>
  <c r="J25" i="3"/>
  <c r="K25" i="3" s="1"/>
  <c r="J26" i="3"/>
  <c r="K26" i="3" s="1"/>
  <c r="J27" i="3"/>
  <c r="K27" i="3" s="1"/>
  <c r="J28" i="3"/>
  <c r="K28" i="3" s="1"/>
  <c r="J29" i="3"/>
  <c r="K29" i="3" s="1"/>
  <c r="J30" i="3"/>
  <c r="K30" i="3" s="1"/>
  <c r="J31" i="3"/>
  <c r="K31" i="3" s="1"/>
  <c r="J32" i="3"/>
  <c r="K32" i="3" s="1"/>
  <c r="J33" i="3"/>
  <c r="K33" i="3" s="1"/>
  <c r="J34" i="3"/>
  <c r="K34" i="3" s="1"/>
  <c r="J35" i="3"/>
  <c r="K35" i="3" s="1"/>
  <c r="J36" i="3"/>
  <c r="K36" i="3" s="1"/>
  <c r="J37" i="3"/>
  <c r="K37" i="3" s="1"/>
  <c r="J38" i="3"/>
  <c r="K38" i="3" s="1"/>
  <c r="J39" i="3"/>
  <c r="K39" i="3" s="1"/>
  <c r="J40" i="3"/>
  <c r="K40" i="3" s="1"/>
  <c r="J41" i="3"/>
  <c r="K41" i="3" s="1"/>
  <c r="J42" i="3"/>
  <c r="K42" i="3" s="1"/>
  <c r="J43" i="3"/>
  <c r="K43" i="3" s="1"/>
  <c r="J44" i="3"/>
  <c r="K44" i="3" s="1"/>
  <c r="J45" i="3"/>
  <c r="K45" i="3" s="1"/>
  <c r="J46" i="3"/>
  <c r="K46" i="3" s="1"/>
  <c r="J47" i="3"/>
  <c r="K47" i="3" s="1"/>
  <c r="J48" i="3"/>
  <c r="K48" i="3" s="1"/>
  <c r="J49" i="3"/>
  <c r="K49" i="3" s="1"/>
  <c r="J50" i="3"/>
  <c r="K50" i="3" s="1"/>
  <c r="J51" i="3"/>
  <c r="K51" i="3" s="1"/>
  <c r="J52" i="3"/>
  <c r="K52" i="3" s="1"/>
  <c r="J53" i="3"/>
  <c r="K53" i="3" s="1"/>
  <c r="J54" i="3"/>
  <c r="K54" i="3" s="1"/>
  <c r="J55" i="3"/>
  <c r="K55" i="3" s="1"/>
  <c r="J56" i="3"/>
  <c r="K56" i="3" s="1"/>
  <c r="J57" i="3"/>
  <c r="K57" i="3" s="1"/>
  <c r="J58" i="3"/>
  <c r="K58" i="3" s="1"/>
  <c r="J59" i="3"/>
  <c r="K59" i="3" s="1"/>
  <c r="J60" i="3"/>
  <c r="K60" i="3" s="1"/>
  <c r="J61" i="3"/>
  <c r="K61" i="3" s="1"/>
  <c r="J62" i="3"/>
  <c r="K62" i="3" s="1"/>
  <c r="J63" i="3"/>
  <c r="K63" i="3" s="1"/>
  <c r="J64" i="3"/>
  <c r="K64" i="3" s="1"/>
  <c r="J65" i="3"/>
  <c r="K65" i="3" s="1"/>
  <c r="J66" i="3"/>
  <c r="K66" i="3" s="1"/>
  <c r="J67" i="3"/>
  <c r="K67" i="3" s="1"/>
  <c r="J68" i="3"/>
  <c r="K68" i="3" s="1"/>
  <c r="J69" i="3"/>
  <c r="K69" i="3" s="1"/>
  <c r="J70" i="3"/>
  <c r="K70" i="3" s="1"/>
  <c r="J71" i="3"/>
  <c r="K71" i="3" s="1"/>
  <c r="J72" i="3"/>
  <c r="K72" i="3" s="1"/>
  <c r="J73" i="3"/>
  <c r="K73" i="3" s="1"/>
  <c r="J74" i="3"/>
  <c r="K74" i="3" s="1"/>
  <c r="J75" i="3"/>
  <c r="K75" i="3" s="1"/>
  <c r="J76" i="3"/>
  <c r="K76" i="3" s="1"/>
  <c r="J77" i="3"/>
  <c r="K77" i="3" s="1"/>
  <c r="J78" i="3"/>
  <c r="K78" i="3" s="1"/>
  <c r="J79" i="3"/>
  <c r="K79" i="3" s="1"/>
  <c r="J80" i="3"/>
  <c r="K80" i="3" s="1"/>
  <c r="J81" i="3"/>
  <c r="K81" i="3" s="1"/>
  <c r="J82" i="3"/>
  <c r="K82" i="3" s="1"/>
  <c r="J83" i="3"/>
  <c r="K83" i="3" s="1"/>
  <c r="J84" i="3"/>
  <c r="K84" i="3" s="1"/>
  <c r="J85" i="3"/>
  <c r="K85" i="3" s="1"/>
  <c r="J86" i="3"/>
  <c r="K86" i="3" s="1"/>
  <c r="J87" i="3"/>
  <c r="K87" i="3" s="1"/>
  <c r="J88" i="3"/>
  <c r="K88" i="3" s="1"/>
  <c r="J89" i="3"/>
  <c r="K89" i="3" s="1"/>
  <c r="J90" i="3"/>
  <c r="K90" i="3" s="1"/>
  <c r="J91" i="3"/>
  <c r="K91" i="3" s="1"/>
  <c r="J92" i="3"/>
  <c r="K92" i="3" s="1"/>
  <c r="J93" i="3"/>
  <c r="K93" i="3" s="1"/>
  <c r="J94" i="3"/>
  <c r="K94" i="3" s="1"/>
  <c r="J95" i="3"/>
  <c r="K95" i="3" s="1"/>
  <c r="J96" i="3"/>
  <c r="K96" i="3" s="1"/>
  <c r="J97" i="3"/>
  <c r="K97" i="3" s="1"/>
  <c r="J98" i="3"/>
  <c r="K98" i="3" s="1"/>
  <c r="J99" i="3"/>
  <c r="K99" i="3" s="1"/>
  <c r="J100" i="3"/>
  <c r="K100" i="3" s="1"/>
  <c r="J101" i="3"/>
  <c r="K101" i="3" s="1"/>
  <c r="J102" i="3"/>
  <c r="K102" i="3" s="1"/>
  <c r="J103" i="3"/>
  <c r="K103" i="3" s="1"/>
  <c r="J104" i="3"/>
  <c r="K104" i="3" s="1"/>
  <c r="J105" i="3"/>
  <c r="K105" i="3" s="1"/>
  <c r="J106" i="3"/>
  <c r="K106" i="3" s="1"/>
  <c r="J107" i="3"/>
  <c r="K107" i="3" s="1"/>
  <c r="J108" i="3"/>
  <c r="K108" i="3" s="1"/>
  <c r="J109" i="3"/>
  <c r="K109" i="3" s="1"/>
  <c r="J110" i="3"/>
  <c r="K110" i="3" s="1"/>
  <c r="J111" i="3"/>
  <c r="K111" i="3" s="1"/>
  <c r="J112" i="3"/>
  <c r="K112" i="3" s="1"/>
  <c r="J113" i="3"/>
  <c r="K113" i="3" s="1"/>
  <c r="J2" i="3"/>
  <c r="K2" i="3" s="1"/>
</calcChain>
</file>

<file path=xl/sharedStrings.xml><?xml version="1.0" encoding="utf-8"?>
<sst xmlns="http://schemas.openxmlformats.org/spreadsheetml/2006/main" count="1364" uniqueCount="363">
  <si>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</si>
  <si>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</si>
  <si>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</si>
  <si>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</si>
  <si>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</si>
  <si>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</si>
  <si>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</si>
  <si>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</si>
  <si>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</si>
  <si>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</si>
  <si>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</si>
  <si>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</si>
  <si>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</si>
  <si>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</si>
  <si>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</si>
  <si>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</si>
  <si>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</si>
  <si>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</si>
  <si>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</si>
  <si>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</si>
  <si>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</si>
  <si>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</si>
  <si>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</si>
  <si>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</si>
  <si>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</si>
  <si>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</si>
  <si>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</si>
  <si>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</si>
  <si>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</si>
  <si>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</si>
  <si>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</si>
  <si>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</si>
  <si>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</si>
  <si>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</si>
  <si>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</si>
  <si>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</si>
  <si>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</si>
  <si>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</si>
  <si>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</si>
  <si>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</si>
  <si>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</si>
  <si>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</si>
  <si>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</si>
  <si>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</si>
  <si>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</si>
  <si>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</si>
  <si>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</si>
  <si>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</si>
  <si>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</si>
  <si>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</si>
  <si>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</si>
  <si>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</si>
  <si>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</si>
  <si>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</si>
  <si>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</si>
  <si>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</si>
  <si>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</si>
  <si>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</si>
  <si>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</si>
  <si>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</si>
  <si>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</si>
  <si>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</si>
  <si>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</si>
  <si>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</si>
  <si>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</si>
  <si>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</si>
  <si>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</si>
  <si>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</si>
  <si>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</si>
  <si>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</si>
  <si>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</si>
  <si>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</si>
  <si>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</si>
  <si>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</si>
  <si>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</si>
  <si>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</si>
  <si>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</si>
  <si>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</si>
  <si>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</si>
  <si>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</si>
  <si>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</si>
  <si>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</si>
  <si>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</si>
  <si>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</si>
  <si>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</si>
  <si>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</si>
  <si>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</si>
  <si>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</si>
  <si>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</si>
  <si>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</si>
  <si>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</si>
  <si>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</si>
  <si>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</si>
  <si>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</si>
  <si>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</si>
  <si>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</si>
  <si>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</si>
  <si>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</si>
  <si>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</si>
  <si>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</si>
  <si>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</si>
  <si>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</si>
  <si>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</si>
  <si>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</si>
  <si>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</si>
  <si>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</si>
  <si>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</si>
  <si>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</si>
  <si>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</si>
  <si>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</si>
  <si>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</si>
  <si>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</si>
  <si>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</si>
  <si>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</si>
  <si>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</si>
  <si>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</si>
  <si>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</si>
  <si>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</si>
  <si>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</si>
  <si>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</si>
  <si>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</si>
  <si>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</si>
  <si>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</si>
  <si>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</si>
  <si>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</si>
  <si>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</si>
  <si>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</si>
  <si>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</si>
  <si>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</si>
  <si>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</si>
  <si>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</si>
  <si>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</si>
  <si>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</si>
  <si>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</si>
  <si>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</si>
  <si>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</si>
  <si>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</si>
  <si>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</si>
  <si>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</si>
  <si>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</si>
  <si>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</si>
  <si>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</si>
  <si>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</si>
  <si>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</si>
  <si>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</si>
  <si>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</si>
  <si>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</si>
  <si>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</si>
  <si>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</si>
  <si>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</si>
  <si>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</si>
  <si>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</si>
  <si>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</si>
  <si>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</si>
  <si>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</si>
  <si>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</si>
  <si>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</si>
  <si>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</si>
  <si>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</si>
  <si>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</si>
  <si>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</si>
  <si>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</si>
  <si>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</si>
  <si>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</si>
  <si>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</si>
  <si>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</si>
  <si>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</si>
  <si>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</si>
  <si>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</si>
  <si>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</si>
  <si>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</si>
  <si>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</si>
  <si>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</si>
  <si>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</si>
  <si>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</si>
  <si>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</si>
  <si>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</si>
  <si>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</si>
  <si>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</si>
  <si>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</si>
  <si>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</si>
  <si>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</si>
  <si>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</si>
  <si>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</si>
  <si>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</si>
  <si>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</si>
  <si>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</si>
  <si>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</si>
  <si>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</si>
  <si>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</si>
  <si>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</si>
  <si>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</si>
  <si>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</si>
  <si>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</si>
  <si>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</si>
  <si>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</si>
  <si>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</si>
  <si>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</si>
  <si>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</si>
  <si>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</si>
  <si>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</si>
  <si>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</si>
  <si>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</si>
  <si>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</si>
  <si>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</si>
  <si>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</si>
  <si>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</si>
  <si>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</si>
  <si>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</si>
  <si>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</si>
  <si>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</si>
  <si>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</si>
  <si>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</si>
  <si>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</si>
  <si>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</si>
  <si>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</si>
  <si>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</si>
  <si>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</si>
  <si>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</si>
  <si>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</si>
  <si>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</si>
  <si>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</si>
  <si>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</si>
  <si>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</si>
  <si>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</si>
  <si>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</si>
  <si>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</si>
  <si>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</si>
  <si>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</si>
  <si>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</si>
  <si>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</si>
  <si>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</si>
  <si>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</si>
  <si>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</si>
  <si>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</si>
  <si>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</si>
  <si>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</si>
  <si>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</si>
  <si>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</si>
  <si>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</si>
  <si>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</si>
  <si>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</si>
  <si>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</si>
  <si>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</si>
  <si>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</si>
  <si>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</si>
  <si>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</si>
  <si>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</si>
  <si>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</si>
  <si>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</si>
  <si>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</si>
  <si>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</si>
  <si>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</si>
  <si>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</si>
  <si>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</si>
  <si>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</si>
  <si>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</si>
  <si>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</si>
  <si>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</si>
  <si>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</si>
  <si>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</si>
  <si>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</si>
  <si>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</si>
  <si>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</si>
  <si>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</si>
  <si>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</si>
  <si>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</si>
  <si>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</si>
  <si>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</si>
  <si>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</si>
  <si>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</si>
  <si>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</si>
  <si>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</si>
  <si>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</si>
  <si>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</si>
  <si>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</si>
  <si>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</si>
  <si>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</si>
  <si>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</si>
  <si>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</si>
  <si>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</si>
  <si>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</si>
  <si>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</si>
  <si>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</si>
  <si>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</si>
  <si>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</si>
  <si>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</si>
  <si>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</si>
  <si>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</si>
  <si>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</si>
  <si>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</si>
  <si>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</si>
  <si>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</si>
  <si>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</si>
  <si>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</si>
  <si>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</si>
  <si>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</si>
  <si>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</si>
  <si>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</si>
  <si>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</si>
  <si>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</si>
  <si>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</si>
  <si>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</si>
  <si>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</si>
  <si>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</si>
  <si>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</si>
  <si>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</si>
  <si>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</si>
  <si>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</si>
  <si>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</si>
  <si>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</si>
  <si>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</si>
  <si>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</si>
  <si>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</si>
  <si>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</si>
  <si>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</si>
  <si>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</si>
  <si>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</si>
  <si>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</si>
  <si>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</si>
  <si>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</si>
  <si>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</si>
  <si>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</si>
  <si>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Product Name</t>
  </si>
  <si>
    <t>Discount(%)</t>
  </si>
  <si>
    <t>0 out of 5</t>
  </si>
  <si>
    <t>Ratings</t>
  </si>
  <si>
    <t xml:space="preserve"> 1,620 -  1,980</t>
  </si>
  <si>
    <t>MultiFunctional Storage Rack Multi-layer Booelf</t>
  </si>
  <si>
    <t xml:space="preserve"> 2,200 -  3,200</t>
  </si>
  <si>
    <t>Current Price(KSh)</t>
  </si>
  <si>
    <t>Old Price(kSh)</t>
  </si>
  <si>
    <t>Absolute Discount Amt(KSh)</t>
  </si>
  <si>
    <t>Ratings category</t>
  </si>
  <si>
    <t>Discount category</t>
  </si>
  <si>
    <t>AVERAGE</t>
  </si>
  <si>
    <t>MAX</t>
  </si>
  <si>
    <t>MIN</t>
  </si>
  <si>
    <t>TOTAL</t>
  </si>
  <si>
    <t>Row Labels</t>
  </si>
  <si>
    <t>Home Appliances</t>
  </si>
  <si>
    <t>Home Decor</t>
  </si>
  <si>
    <t>Other</t>
  </si>
  <si>
    <t>Tools &amp; Equipment</t>
  </si>
  <si>
    <t>Grand Total</t>
  </si>
  <si>
    <t>Average of Discount(%)</t>
  </si>
  <si>
    <t>Average of Ratings</t>
  </si>
  <si>
    <t>Product category</t>
  </si>
  <si>
    <t>Bags &amp; Storage</t>
  </si>
  <si>
    <t>Medium Discount</t>
  </si>
  <si>
    <t>High Discount</t>
  </si>
  <si>
    <t>Low Discount</t>
  </si>
  <si>
    <t>r^2=0.0001 it is closer to 0 - the relationship is weak</t>
  </si>
  <si>
    <t>used to tell how strong the relationship is.</t>
  </si>
  <si>
    <t>correlation co efficient</t>
  </si>
  <si>
    <t>correlation is near 0 there is no relationship. No relationship between discount% and no, of reviews. Discounts don't result in more customers engagment.</t>
  </si>
  <si>
    <t>the correlation is close to +1 higher ratings tend to have more reviews</t>
  </si>
  <si>
    <t>Excellent</t>
  </si>
  <si>
    <t>Average</t>
  </si>
  <si>
    <t>Poor</t>
  </si>
  <si>
    <t>Max of Discount(%)</t>
  </si>
  <si>
    <t>Sum of Review</t>
  </si>
  <si>
    <t>Average of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</si>
</sst>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9" fontId="0" fillId="0" borderId="0" xfId="0" applyNumberFormat="1"/>
    <xf numFmtId="1" fontId="0" fillId="0" borderId="0" xfId="0" applyNumberFormat="1"/>
    <xf numFmtId="2" fontId="0" fillId="0" borderId="0" xfId="0" applyNumberFormat="1"/>
    <xf numFmtId="164" fontId="0" fillId="0" borderId="0" xfId="0" applyNumberFormat="1"/>
    <xf numFmtId="0" fontId="17" fillId="33" borderId="0" xfId="0" applyFont="1" applyFill="1"/>
    <xf numFmtId="1" fontId="17" fillId="33" borderId="0" xfId="0" applyNumberFormat="1" applyFont="1" applyFill="1"/>
    <xf numFmtId="2" fontId="17" fillId="33" borderId="0" xfId="0" applyNumberFormat="1" applyFont="1" applyFill="1"/>
    <xf numFmtId="164" fontId="17" fillId="33" borderId="0" xfId="0" applyNumberFormat="1" applyFont="1" applyFill="1"/>
    <xf numFmtId="49" fontId="0" fillId="0" borderId="0" xfId="0" applyNumberFormat="1"/>
    <xf numFmtId="0" fontId="0" fillId="0" borderId="0" xfId="0" pivotButton="1"/>
    <xf numFmtId="0" fontId="0" fillId="0" borderId="0" xfId="0" applyAlignment="1">
      <alignment horizontal="left"/>
    </xf>
    <xf numFmtId="49" fontId="17" fillId="33" borderId="0" xfId="0" applyNumberFormat="1" applyFont="1"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[Excel_jumia_dashboard faybeth.xlsx]product(avg disc&amp;rating!PivotTable2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'product(avg disc&amp;rating'!$B$3</c:f>
              <c:strCache>
                <c:ptCount val="1"/>
                <c:pt idx="0">
                  <c:v>Average of Discount(%)</c:v>
                </c:pt>
              </c:strCache>
            </c:strRef>
          </c:tx>
          <c:spPr>
            <a:solidFill>
              <a:schemeClr val="accent1"/>
            </a:solidFill>
            <a:ln>
              <a:noFill/>
            </a:ln>
            <a:effectLst/>
          </c:spPr>
          <c:invertIfNegative val="0"/>
          <c:cat>
            <c:strRef>
              <c:f>'product(avg disc&amp;rating'!$A$4:$A$9</c:f>
              <c:strCache>
                <c:ptCount val="5"/>
                <c:pt idx="0">
                  <c:v>Bags &amp; Storage</c:v>
                </c:pt>
                <c:pt idx="1">
                  <c:v>Home Appliances</c:v>
                </c:pt>
                <c:pt idx="2">
                  <c:v>Home Decor</c:v>
                </c:pt>
                <c:pt idx="3">
                  <c:v>Other</c:v>
                </c:pt>
                <c:pt idx="4">
                  <c:v>Tools &amp; Equipment</c:v>
                </c:pt>
              </c:strCache>
            </c:strRef>
          </c:cat>
          <c:val>
            <c:numRef>
              <c:f>'product(avg disc&amp;rating'!$B$4:$B$9</c:f>
              <c:numCache>
                <c:formatCode>0.00</c:formatCode>
                <c:ptCount val="5"/>
                <c:pt idx="0">
                  <c:v>0.33153846153846156</c:v>
                </c:pt>
                <c:pt idx="1">
                  <c:v>0.37624999999999997</c:v>
                </c:pt>
                <c:pt idx="2">
                  <c:v>0.40888888888888891</c:v>
                </c:pt>
                <c:pt idx="3">
                  <c:v>0.38034482758620675</c:v>
                </c:pt>
                <c:pt idx="4">
                  <c:v>0.33874999999999994</c:v>
                </c:pt>
              </c:numCache>
            </c:numRef>
          </c:val>
          <c:extLst>
            <c:ext xmlns:c16="http://schemas.microsoft.com/office/drawing/2014/chart" uri="{C3380CC4-5D6E-409C-BE32-E72D297353CC}">
              <c16:uniqueId val="{00000000-8C1D-4974-801E-F78B129DD23B}"/>
            </c:ext>
          </c:extLst>
        </c:ser>
        <c:dLbls>
          <c:showLegendKey val="0"/>
          <c:showVal val="0"/>
          <c:showCatName val="0"/>
          <c:showSerName val="0"/>
          <c:showPercent val="0"/>
          <c:showBubbleSize val="0"/>
        </c:dLbls>
        <c:gapWidth val="219"/>
        <c:overlap val="-27"/>
        <c:axId val="812395144"/>
        <c:axId val="812398744"/>
      </c:barChart>
      <c:lineChart>
        <c:grouping val="standard"/>
        <c:varyColors val="0"/>
        <c:ser>
          <c:idx val="1"/>
          <c:order val="1"/>
          <c:tx>
            <c:strRef>
              <c:f>'product(avg disc&amp;rating'!$C$3</c:f>
              <c:strCache>
                <c:ptCount val="1"/>
                <c:pt idx="0">
                  <c:v>Average of Ratings</c:v>
                </c:pt>
              </c:strCache>
            </c:strRef>
          </c:tx>
          <c:spPr>
            <a:ln w="28575" cap="rnd">
              <a:solidFill>
                <a:schemeClr val="accent2"/>
              </a:solidFill>
              <a:round/>
            </a:ln>
            <a:effectLst/>
          </c:spPr>
          <c:marker>
            <c:symbol val="none"/>
          </c:marker>
          <c:cat>
            <c:strRef>
              <c:f>'product(avg disc&amp;rating'!$A$4:$A$9</c:f>
              <c:strCache>
                <c:ptCount val="5"/>
                <c:pt idx="0">
                  <c:v>Bags &amp; Storage</c:v>
                </c:pt>
                <c:pt idx="1">
                  <c:v>Home Appliances</c:v>
                </c:pt>
                <c:pt idx="2">
                  <c:v>Home Decor</c:v>
                </c:pt>
                <c:pt idx="3">
                  <c:v>Other</c:v>
                </c:pt>
                <c:pt idx="4">
                  <c:v>Tools &amp; Equipment</c:v>
                </c:pt>
              </c:strCache>
            </c:strRef>
          </c:cat>
          <c:val>
            <c:numRef>
              <c:f>'product(avg disc&amp;rating'!$C$4:$C$9</c:f>
              <c:numCache>
                <c:formatCode>0.0</c:formatCode>
                <c:ptCount val="5"/>
                <c:pt idx="0">
                  <c:v>1.7692307692307692</c:v>
                </c:pt>
                <c:pt idx="1">
                  <c:v>3.1875</c:v>
                </c:pt>
                <c:pt idx="2">
                  <c:v>3.5111111111111111</c:v>
                </c:pt>
                <c:pt idx="3">
                  <c:v>1.6224137931034481</c:v>
                </c:pt>
                <c:pt idx="4">
                  <c:v>1.9791666666666667</c:v>
                </c:pt>
              </c:numCache>
            </c:numRef>
          </c:val>
          <c:smooth val="0"/>
          <c:extLst>
            <c:ext xmlns:c16="http://schemas.microsoft.com/office/drawing/2014/chart" uri="{C3380CC4-5D6E-409C-BE32-E72D297353CC}">
              <c16:uniqueId val="{00000001-8C1D-4974-801E-F78B129DD23B}"/>
            </c:ext>
          </c:extLst>
        </c:ser>
        <c:dLbls>
          <c:showLegendKey val="0"/>
          <c:showVal val="0"/>
          <c:showCatName val="0"/>
          <c:showSerName val="0"/>
          <c:showPercent val="0"/>
          <c:showBubbleSize val="0"/>
        </c:dLbls>
        <c:marker val="1"/>
        <c:smooth val="0"/>
        <c:axId val="812395144"/>
        <c:axId val="812398744"/>
      </c:lineChart>
      <c:catAx>
        <c:axId val="812395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398744"/>
        <c:crosses val="autoZero"/>
        <c:auto val="1"/>
        <c:lblAlgn val="ctr"/>
        <c:lblOffset val="100"/>
        <c:noMultiLvlLbl val="0"/>
      </c:catAx>
      <c:valAx>
        <c:axId val="812398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395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[Excel_jumia_dashboard faybeth.xlsx]product(disc)!PivotTable4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accent2"/>
                </a:solidFill>
              </a:rPr>
              <a:t>Maximum Percentage Discount by Product</a:t>
            </a:r>
            <a:endParaRPr lang="en-US"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'product(disc)'!$B$3</c:f>
              <c:strCache>
                <c:ptCount val="1"/>
                <c:pt idx="0">
                  <c:v>Total</c:v>
                </c:pt>
              </c:strCache>
            </c:strRef>
          </c:tx>
          <c:spPr>
            <a:solidFill>
              <a:schemeClr val="accent2"/>
            </a:solidFill>
            <a:ln>
              <a:noFill/>
            </a:ln>
            <a:effectLst/>
          </c:spPr>
          <c:invertIfNegative val="0"/>
          <c:cat>
            <c:strRef>
              <c:f>'product(disc)'!$A$4:$A$15</c:f>
              <c:strCache>
                <c:ptCount val="11"/>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pt idx="10">
                  <c:v>Simple Metal Dog Art Sculpture Decoration For Home Office</c:v>
                </c:pt>
              </c:strCache>
            </c:strRef>
          </c:cat>
          <c:val>
            <c:numRef>
              <c:f>'product(disc)'!$B$4:$B$15</c:f>
              <c:numCache>
                <c:formatCode>0.00</c:formatCode>
                <c:ptCount val="11"/>
                <c:pt idx="0">
                  <c:v>0.53</c:v>
                </c:pt>
                <c:pt idx="1">
                  <c:v>0.55000000000000004</c:v>
                </c:pt>
                <c:pt idx="2">
                  <c:v>0.64</c:v>
                </c:pt>
                <c:pt idx="3">
                  <c:v>0.53</c:v>
                </c:pt>
                <c:pt idx="4">
                  <c:v>0.61</c:v>
                </c:pt>
                <c:pt idx="5">
                  <c:v>0.52</c:v>
                </c:pt>
                <c:pt idx="6">
                  <c:v>0.52</c:v>
                </c:pt>
                <c:pt idx="7">
                  <c:v>0.54</c:v>
                </c:pt>
                <c:pt idx="8">
                  <c:v>0.55000000000000004</c:v>
                </c:pt>
                <c:pt idx="9">
                  <c:v>0.54</c:v>
                </c:pt>
                <c:pt idx="10">
                  <c:v>0.55000000000000004</c:v>
                </c:pt>
              </c:numCache>
            </c:numRef>
          </c:val>
          <c:extLst>
            <c:ext xmlns:c16="http://schemas.microsoft.com/office/drawing/2014/chart" uri="{C3380CC4-5D6E-409C-BE32-E72D297353CC}">
              <c16:uniqueId val="{00000000-FA4D-42D4-A302-225A1A812257}"/>
            </c:ext>
          </c:extLst>
        </c:ser>
        <c:dLbls>
          <c:showLegendKey val="0"/>
          <c:showVal val="0"/>
          <c:showCatName val="0"/>
          <c:showSerName val="0"/>
          <c:showPercent val="0"/>
          <c:showBubbleSize val="0"/>
        </c:dLbls>
        <c:gapWidth val="182"/>
        <c:axId val="584681488"/>
        <c:axId val="584681848"/>
      </c:barChart>
      <c:catAx>
        <c:axId val="584681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681848"/>
        <c:crosses val="autoZero"/>
        <c:auto val="1"/>
        <c:lblAlgn val="ctr"/>
        <c:lblOffset val="100"/>
        <c:noMultiLvlLbl val="0"/>
      </c:catAx>
      <c:valAx>
        <c:axId val="5846818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68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[Excel_jumia_dashboard faybeth.xlsx]product(review)!PivotTable5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Total number of review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'product(review)'!$B$3</c:f>
              <c:strCache>
                <c:ptCount val="1"/>
                <c:pt idx="0">
                  <c:v>Total</c:v>
                </c:pt>
              </c:strCache>
            </c:strRef>
          </c:tx>
          <c:spPr>
            <a:solidFill>
              <a:schemeClr val="accent2"/>
            </a:solidFill>
            <a:ln w="19050">
              <a:solidFill>
                <a:schemeClr val="lt1"/>
              </a:solidFill>
            </a:ln>
            <a:effectLst/>
          </c:spPr>
          <c:invertIfNegative val="0"/>
          <c:cat>
            <c:strRef>
              <c:f>'product(review)'!$A$4:$A$14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'product(review)'!$B$4:$B$14</c:f>
              <c:numCache>
                <c:formatCode>0</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8FB9-4E04-9DDF-533C61982689}"/>
            </c:ext>
          </c:extLst>
        </c:ser>
        <c:dLbls>
          <c:showLegendKey val="0"/>
          <c:showVal val="0"/>
          <c:showCatName val="0"/>
          <c:showSerName val="0"/>
          <c:showPercent val="0"/>
          <c:showBubbleSize val="0"/>
        </c:dLbls>
        <c:gapWidth val="150"/>
        <c:axId val="635386408"/>
        <c:axId val="635388208"/>
      </c:barChart>
      <c:catAx>
        <c:axId val="635386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388208"/>
        <c:crosses val="autoZero"/>
        <c:auto val="1"/>
        <c:lblAlgn val="ctr"/>
        <c:lblOffset val="100"/>
        <c:noMultiLvlLbl val="0"/>
      </c:catAx>
      <c:valAx>
        <c:axId val="635388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386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[Excel_jumia_dashboard faybeth.xlsx]avg rating&amp;review(prod)!PivotTable6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Average</a:t>
            </a:r>
            <a:r>
              <a:rPr lang="en-US" b="1" baseline="0">
                <a:solidFill>
                  <a:schemeClr val="accent2"/>
                </a:solidFill>
              </a:rPr>
              <a:t> ratings and review by discount category</a:t>
            </a:r>
            <a:endParaRPr lang="en-US"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rating&amp;review(prod)'!$B$3</c:f>
              <c:strCache>
                <c:ptCount val="1"/>
                <c:pt idx="0">
                  <c:v>Average of Ratings</c:v>
                </c:pt>
              </c:strCache>
            </c:strRef>
          </c:tx>
          <c:spPr>
            <a:solidFill>
              <a:schemeClr val="accent1"/>
            </a:solidFill>
            <a:ln w="19050">
              <a:solidFill>
                <a:schemeClr val="lt1"/>
              </a:solidFill>
            </a:ln>
            <a:effectLst/>
          </c:spPr>
          <c:invertIfNegative val="0"/>
          <c:cat>
            <c:strRef>
              <c:f>'avg rating&amp;review(prod)'!$A$4:$A$7</c:f>
              <c:strCache>
                <c:ptCount val="3"/>
                <c:pt idx="0">
                  <c:v>High Discount</c:v>
                </c:pt>
                <c:pt idx="1">
                  <c:v>Low Discount</c:v>
                </c:pt>
                <c:pt idx="2">
                  <c:v>Medium Discount</c:v>
                </c:pt>
              </c:strCache>
            </c:strRef>
          </c:cat>
          <c:val>
            <c:numRef>
              <c:f>'avg rating&amp;review(prod)'!$B$4:$B$7</c:f>
              <c:numCache>
                <c:formatCode>0.0</c:formatCode>
                <c:ptCount val="3"/>
                <c:pt idx="0">
                  <c:v>1.7483870967741932</c:v>
                </c:pt>
                <c:pt idx="1">
                  <c:v>0.82777777777777772</c:v>
                </c:pt>
                <c:pt idx="2">
                  <c:v>3.0750000000000006</c:v>
                </c:pt>
              </c:numCache>
            </c:numRef>
          </c:val>
          <c:extLst>
            <c:ext xmlns:c16="http://schemas.microsoft.com/office/drawing/2014/chart" uri="{C3380CC4-5D6E-409C-BE32-E72D297353CC}">
              <c16:uniqueId val="{00000000-5D05-48F9-9A0F-F2A485616416}"/>
            </c:ext>
          </c:extLst>
        </c:ser>
        <c:dLbls>
          <c:showLegendKey val="0"/>
          <c:showVal val="0"/>
          <c:showCatName val="0"/>
          <c:showSerName val="0"/>
          <c:showPercent val="0"/>
          <c:showBubbleSize val="0"/>
        </c:dLbls>
        <c:gapWidth val="150"/>
        <c:axId val="635442928"/>
        <c:axId val="635444368"/>
      </c:barChart>
      <c:lineChart>
        <c:grouping val="standard"/>
        <c:varyColors val="0"/>
        <c:ser>
          <c:idx val="1"/>
          <c:order val="1"/>
          <c:tx>
            <c:strRef>
              <c:f>'avg rating&amp;review(prod)'!$C$3</c:f>
              <c:strCache>
                <c:ptCount val="1"/>
                <c:pt idx="0">
                  <c:v>Average of Review</c:v>
                </c:pt>
              </c:strCache>
            </c:strRef>
          </c:tx>
          <c:spPr>
            <a:ln w="28575" cap="rnd">
              <a:solidFill>
                <a:schemeClr val="accent2"/>
              </a:solidFill>
              <a:round/>
            </a:ln>
            <a:effectLst/>
          </c:spPr>
          <c:marker>
            <c:symbol val="none"/>
          </c:marker>
          <c:cat>
            <c:strRef>
              <c:f>'avg rating&amp;review(prod)'!$A$4:$A$7</c:f>
              <c:strCache>
                <c:ptCount val="3"/>
                <c:pt idx="0">
                  <c:v>High Discount</c:v>
                </c:pt>
                <c:pt idx="1">
                  <c:v>Low Discount</c:v>
                </c:pt>
                <c:pt idx="2">
                  <c:v>Medium Discount</c:v>
                </c:pt>
              </c:strCache>
            </c:strRef>
          </c:cat>
          <c:val>
            <c:numRef>
              <c:f>'avg rating&amp;review(prod)'!$C$4:$C$7</c:f>
              <c:numCache>
                <c:formatCode>0</c:formatCode>
                <c:ptCount val="3"/>
                <c:pt idx="0">
                  <c:v>5.387096774193548</c:v>
                </c:pt>
                <c:pt idx="1">
                  <c:v>2.1111111111111112</c:v>
                </c:pt>
                <c:pt idx="2">
                  <c:v>10.96875</c:v>
                </c:pt>
              </c:numCache>
            </c:numRef>
          </c:val>
          <c:smooth val="0"/>
          <c:extLst>
            <c:ext xmlns:c16="http://schemas.microsoft.com/office/drawing/2014/chart" uri="{C3380CC4-5D6E-409C-BE32-E72D297353CC}">
              <c16:uniqueId val="{00000001-5D05-48F9-9A0F-F2A485616416}"/>
            </c:ext>
          </c:extLst>
        </c:ser>
        <c:dLbls>
          <c:showLegendKey val="0"/>
          <c:showVal val="0"/>
          <c:showCatName val="0"/>
          <c:showSerName val="0"/>
          <c:showPercent val="0"/>
          <c:showBubbleSize val="0"/>
        </c:dLbls>
        <c:marker val="1"/>
        <c:smooth val="0"/>
        <c:axId val="635442928"/>
        <c:axId val="635444368"/>
      </c:lineChart>
      <c:catAx>
        <c:axId val="635442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444368"/>
        <c:crosses val="autoZero"/>
        <c:auto val="1"/>
        <c:lblAlgn val="ctr"/>
        <c:lblOffset val="100"/>
        <c:noMultiLvlLbl val="0"/>
      </c:catAx>
      <c:valAx>
        <c:axId val="6354443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44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[Excel_jumia_dashboard faybeth.xlsx]avg rating&amp;review(prod)!PivotTable6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2"/>
                </a:solidFill>
              </a:rPr>
              <a:t>Average of Ratings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hade val="65000"/>
            </a:schemeClr>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tint val="65000"/>
            </a:schemeClr>
          </a:solidFill>
          <a:ln w="19050">
            <a:solidFill>
              <a:schemeClr val="lt1"/>
            </a:solidFill>
          </a:ln>
          <a:effectLst/>
        </c:spPr>
      </c:pivotFmt>
      <c:pivotFmt>
        <c:idx val="5"/>
        <c:spPr>
          <a:solidFill>
            <a:schemeClr val="accent2">
              <a:shade val="65000"/>
            </a:schemeClr>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tint val="65000"/>
            </a:schemeClr>
          </a:solidFill>
          <a:ln w="19050">
            <a:solidFill>
              <a:schemeClr val="lt1"/>
            </a:solidFill>
          </a:ln>
          <a:effectLst/>
        </c:spPr>
      </c:pivotFmt>
    </c:pivotFmts>
    <c:plotArea>
      <c:layout/>
      <c:pieChart>
        <c:varyColors val="1"/>
        <c:ser>
          <c:idx val="0"/>
          <c:order val="0"/>
          <c:tx>
            <c:strRef>
              <c:f>'avg rating&amp;review(prod)'!$B$3</c:f>
              <c:strCache>
                <c:ptCount val="1"/>
                <c:pt idx="0">
                  <c:v>Average of Ratings</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DE83-4D08-AB8A-5EA700DE02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83-4D08-AB8A-5EA700DE0209}"/>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DE83-4D08-AB8A-5EA700DE0209}"/>
              </c:ext>
            </c:extLst>
          </c:dPt>
          <c:cat>
            <c:strRef>
              <c:f>'avg rating&amp;review(prod)'!$A$4:$A$7</c:f>
              <c:strCache>
                <c:ptCount val="3"/>
                <c:pt idx="0">
                  <c:v>High Discount</c:v>
                </c:pt>
                <c:pt idx="1">
                  <c:v>Low Discount</c:v>
                </c:pt>
                <c:pt idx="2">
                  <c:v>Medium Discount</c:v>
                </c:pt>
              </c:strCache>
            </c:strRef>
          </c:cat>
          <c:val>
            <c:numRef>
              <c:f>'avg rating&amp;review(prod)'!$B$4:$B$7</c:f>
              <c:numCache>
                <c:formatCode>0.0</c:formatCode>
                <c:ptCount val="3"/>
                <c:pt idx="0">
                  <c:v>1.7483870967741932</c:v>
                </c:pt>
                <c:pt idx="1">
                  <c:v>0.82777777777777772</c:v>
                </c:pt>
                <c:pt idx="2">
                  <c:v>3.0750000000000006</c:v>
                </c:pt>
              </c:numCache>
            </c:numRef>
          </c:val>
          <c:extLst>
            <c:ext xmlns:c16="http://schemas.microsoft.com/office/drawing/2014/chart" uri="{C3380CC4-5D6E-409C-BE32-E72D297353CC}">
              <c16:uniqueId val="{00000000-3762-42ED-B0B2-5B718289896D}"/>
            </c:ext>
          </c:extLst>
        </c:ser>
        <c:ser>
          <c:idx val="1"/>
          <c:order val="1"/>
          <c:tx>
            <c:strRef>
              <c:f>'avg rating&amp;review(prod)'!$C$3</c:f>
              <c:strCache>
                <c:ptCount val="1"/>
                <c:pt idx="0">
                  <c:v>Average of Review</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7-DE83-4D08-AB8A-5EA700DE02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DE83-4D08-AB8A-5EA700DE0209}"/>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B-DE83-4D08-AB8A-5EA700DE0209}"/>
              </c:ext>
            </c:extLst>
          </c:dPt>
          <c:cat>
            <c:strRef>
              <c:f>'avg rating&amp;review(prod)'!$A$4:$A$7</c:f>
              <c:strCache>
                <c:ptCount val="3"/>
                <c:pt idx="0">
                  <c:v>High Discount</c:v>
                </c:pt>
                <c:pt idx="1">
                  <c:v>Low Discount</c:v>
                </c:pt>
                <c:pt idx="2">
                  <c:v>Medium Discount</c:v>
                </c:pt>
              </c:strCache>
            </c:strRef>
          </c:cat>
          <c:val>
            <c:numRef>
              <c:f>'avg rating&amp;review(prod)'!$C$4:$C$7</c:f>
              <c:numCache>
                <c:formatCode>0</c:formatCode>
                <c:ptCount val="3"/>
                <c:pt idx="0">
                  <c:v>5.387096774193548</c:v>
                </c:pt>
                <c:pt idx="1">
                  <c:v>2.1111111111111112</c:v>
                </c:pt>
                <c:pt idx="2">
                  <c:v>10.96875</c:v>
                </c:pt>
              </c:numCache>
            </c:numRef>
          </c:val>
          <c:extLst>
            <c:ext xmlns:c16="http://schemas.microsoft.com/office/drawing/2014/chart" uri="{C3380CC4-5D6E-409C-BE32-E72D297353CC}">
              <c16:uniqueId val="{00000001-3762-42ED-B0B2-5B71828989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[Excel_jumia_dashboard faybeth.xlsx]product(disc)!PivotTable4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accent2"/>
                </a:solidFill>
              </a:rPr>
              <a:t>Maximum Percentage Discount by Product</a:t>
            </a:r>
            <a:endParaRPr lang="en-US"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'product(disc)'!$B$3</c:f>
              <c:strCache>
                <c:ptCount val="1"/>
                <c:pt idx="0">
                  <c:v>Total</c:v>
                </c:pt>
              </c:strCache>
            </c:strRef>
          </c:tx>
          <c:spPr>
            <a:solidFill>
              <a:schemeClr val="accent2"/>
            </a:solidFill>
            <a:ln>
              <a:noFill/>
            </a:ln>
            <a:effectLst/>
          </c:spPr>
          <c:invertIfNegative val="0"/>
          <c:cat>
            <c:strRef>
              <c:f>'product(disc)'!$A$4:$A$15</c:f>
              <c:strCache>
                <c:ptCount val="11"/>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pt idx="10">
                  <c:v>Simple Metal Dog Art Sculpture Decoration For Home Office</c:v>
                </c:pt>
              </c:strCache>
            </c:strRef>
          </c:cat>
          <c:val>
            <c:numRef>
              <c:f>'product(disc)'!$B$4:$B$15</c:f>
              <c:numCache>
                <c:formatCode>0.00</c:formatCode>
                <c:ptCount val="11"/>
                <c:pt idx="0">
                  <c:v>0.53</c:v>
                </c:pt>
                <c:pt idx="1">
                  <c:v>0.55000000000000004</c:v>
                </c:pt>
                <c:pt idx="2">
                  <c:v>0.64</c:v>
                </c:pt>
                <c:pt idx="3">
                  <c:v>0.53</c:v>
                </c:pt>
                <c:pt idx="4">
                  <c:v>0.61</c:v>
                </c:pt>
                <c:pt idx="5">
                  <c:v>0.52</c:v>
                </c:pt>
                <c:pt idx="6">
                  <c:v>0.52</c:v>
                </c:pt>
                <c:pt idx="7">
                  <c:v>0.54</c:v>
                </c:pt>
                <c:pt idx="8">
                  <c:v>0.55000000000000004</c:v>
                </c:pt>
                <c:pt idx="9">
                  <c:v>0.54</c:v>
                </c:pt>
                <c:pt idx="10">
                  <c:v>0.55000000000000004</c:v>
                </c:pt>
              </c:numCache>
            </c:numRef>
          </c:val>
          <c:extLst>
            <c:ext xmlns:c16="http://schemas.microsoft.com/office/drawing/2014/chart" uri="{C3380CC4-5D6E-409C-BE32-E72D297353CC}">
              <c16:uniqueId val="{00000000-0AFE-4816-A648-A7246C9518F9}"/>
            </c:ext>
          </c:extLst>
        </c:ser>
        <c:dLbls>
          <c:showLegendKey val="0"/>
          <c:showVal val="0"/>
          <c:showCatName val="0"/>
          <c:showSerName val="0"/>
          <c:showPercent val="0"/>
          <c:showBubbleSize val="0"/>
        </c:dLbls>
        <c:gapWidth val="182"/>
        <c:axId val="584681488"/>
        <c:axId val="584681848"/>
      </c:barChart>
      <c:catAx>
        <c:axId val="584681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681848"/>
        <c:crosses val="autoZero"/>
        <c:auto val="1"/>
        <c:lblAlgn val="ctr"/>
        <c:lblOffset val="100"/>
        <c:noMultiLvlLbl val="0"/>
      </c:catAx>
      <c:valAx>
        <c:axId val="5846818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68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[Excel_jumia_dashboard faybeth.xlsx]product(review)!PivotTable5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Total number of review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'product(review)'!$B$3</c:f>
              <c:strCache>
                <c:ptCount val="1"/>
                <c:pt idx="0">
                  <c:v>Total</c:v>
                </c:pt>
              </c:strCache>
            </c:strRef>
          </c:tx>
          <c:spPr>
            <a:solidFill>
              <a:schemeClr val="accent2"/>
            </a:solidFill>
            <a:ln w="19050">
              <a:solidFill>
                <a:schemeClr val="lt1"/>
              </a:solidFill>
            </a:ln>
            <a:effectLst/>
          </c:spPr>
          <c:invertIfNegative val="0"/>
          <c:cat>
            <c:strRef>
              <c:f>'product(review)'!$A$4:$A$14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'product(review)'!$B$4:$B$14</c:f>
              <c:numCache>
                <c:formatCode>0</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0886-4392-89C7-CD345904D0AD}"/>
            </c:ext>
          </c:extLst>
        </c:ser>
        <c:dLbls>
          <c:showLegendKey val="0"/>
          <c:showVal val="0"/>
          <c:showCatName val="0"/>
          <c:showSerName val="0"/>
          <c:showPercent val="0"/>
          <c:showBubbleSize val="0"/>
        </c:dLbls>
        <c:gapWidth val="150"/>
        <c:axId val="635386408"/>
        <c:axId val="635388208"/>
      </c:barChart>
      <c:catAx>
        <c:axId val="635386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388208"/>
        <c:crosses val="autoZero"/>
        <c:auto val="1"/>
        <c:lblAlgn val="ctr"/>
        <c:lblOffset val="100"/>
        <c:noMultiLvlLbl val="0"/>
      </c:catAx>
      <c:valAx>
        <c:axId val="635388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386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[Excel_jumia_dashboard faybeth.xlsx]avg rating&amp;review(prod)!PivotTable6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Average</a:t>
            </a:r>
            <a:r>
              <a:rPr lang="en-US" b="1" baseline="0">
                <a:solidFill>
                  <a:schemeClr val="accent2"/>
                </a:solidFill>
              </a:rPr>
              <a:t> ratings and review by discount category</a:t>
            </a:r>
            <a:endParaRPr lang="en-US"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rating&amp;review(prod)'!$B$3</c:f>
              <c:strCache>
                <c:ptCount val="1"/>
                <c:pt idx="0">
                  <c:v>Average of Ratings</c:v>
                </c:pt>
              </c:strCache>
            </c:strRef>
          </c:tx>
          <c:spPr>
            <a:solidFill>
              <a:schemeClr val="accent2">
                <a:shade val="76000"/>
              </a:schemeClr>
            </a:solidFill>
            <a:ln w="19050">
              <a:solidFill>
                <a:schemeClr val="lt1"/>
              </a:solidFill>
            </a:ln>
            <a:effectLst/>
          </c:spPr>
          <c:invertIfNegative val="0"/>
          <c:cat>
            <c:strRef>
              <c:f>'avg rating&amp;review(prod)'!$A$4:$A$7</c:f>
              <c:strCache>
                <c:ptCount val="3"/>
                <c:pt idx="0">
                  <c:v>High Discount</c:v>
                </c:pt>
                <c:pt idx="1">
                  <c:v>Low Discount</c:v>
                </c:pt>
                <c:pt idx="2">
                  <c:v>Medium Discount</c:v>
                </c:pt>
              </c:strCache>
            </c:strRef>
          </c:cat>
          <c:val>
            <c:numRef>
              <c:f>'avg rating&amp;review(prod)'!$B$4:$B$7</c:f>
              <c:numCache>
                <c:formatCode>0.0</c:formatCode>
                <c:ptCount val="3"/>
                <c:pt idx="0">
                  <c:v>1.7483870967741932</c:v>
                </c:pt>
                <c:pt idx="1">
                  <c:v>0.82777777777777772</c:v>
                </c:pt>
                <c:pt idx="2">
                  <c:v>3.0750000000000006</c:v>
                </c:pt>
              </c:numCache>
            </c:numRef>
          </c:val>
          <c:extLst>
            <c:ext xmlns:c16="http://schemas.microsoft.com/office/drawing/2014/chart" uri="{C3380CC4-5D6E-409C-BE32-E72D297353CC}">
              <c16:uniqueId val="{00000000-E66F-4C62-8D70-A41684991E12}"/>
            </c:ext>
          </c:extLst>
        </c:ser>
        <c:dLbls>
          <c:showLegendKey val="0"/>
          <c:showVal val="0"/>
          <c:showCatName val="0"/>
          <c:showSerName val="0"/>
          <c:showPercent val="0"/>
          <c:showBubbleSize val="0"/>
        </c:dLbls>
        <c:gapWidth val="150"/>
        <c:axId val="635442928"/>
        <c:axId val="635444368"/>
      </c:barChart>
      <c:lineChart>
        <c:grouping val="standard"/>
        <c:varyColors val="0"/>
        <c:ser>
          <c:idx val="1"/>
          <c:order val="1"/>
          <c:tx>
            <c:strRef>
              <c:f>'avg rating&amp;review(prod)'!$C$3</c:f>
              <c:strCache>
                <c:ptCount val="1"/>
                <c:pt idx="0">
                  <c:v>Average of Review</c:v>
                </c:pt>
              </c:strCache>
            </c:strRef>
          </c:tx>
          <c:spPr>
            <a:ln w="28575" cap="rnd">
              <a:solidFill>
                <a:schemeClr val="accent2">
                  <a:tint val="77000"/>
                </a:schemeClr>
              </a:solidFill>
              <a:round/>
            </a:ln>
            <a:effectLst/>
          </c:spPr>
          <c:marker>
            <c:symbol val="none"/>
          </c:marker>
          <c:cat>
            <c:strRef>
              <c:f>'avg rating&amp;review(prod)'!$A$4:$A$7</c:f>
              <c:strCache>
                <c:ptCount val="3"/>
                <c:pt idx="0">
                  <c:v>High Discount</c:v>
                </c:pt>
                <c:pt idx="1">
                  <c:v>Low Discount</c:v>
                </c:pt>
                <c:pt idx="2">
                  <c:v>Medium Discount</c:v>
                </c:pt>
              </c:strCache>
            </c:strRef>
          </c:cat>
          <c:val>
            <c:numRef>
              <c:f>'avg rating&amp;review(prod)'!$C$4:$C$7</c:f>
              <c:numCache>
                <c:formatCode>0</c:formatCode>
                <c:ptCount val="3"/>
                <c:pt idx="0">
                  <c:v>5.387096774193548</c:v>
                </c:pt>
                <c:pt idx="1">
                  <c:v>2.1111111111111112</c:v>
                </c:pt>
                <c:pt idx="2">
                  <c:v>10.96875</c:v>
                </c:pt>
              </c:numCache>
            </c:numRef>
          </c:val>
          <c:smooth val="0"/>
          <c:extLst>
            <c:ext xmlns:c16="http://schemas.microsoft.com/office/drawing/2014/chart" uri="{C3380CC4-5D6E-409C-BE32-E72D297353CC}">
              <c16:uniqueId val="{00000001-E66F-4C62-8D70-A41684991E12}"/>
            </c:ext>
          </c:extLst>
        </c:ser>
        <c:dLbls>
          <c:showLegendKey val="0"/>
          <c:showVal val="0"/>
          <c:showCatName val="0"/>
          <c:showSerName val="0"/>
          <c:showPercent val="0"/>
          <c:showBubbleSize val="0"/>
        </c:dLbls>
        <c:marker val="1"/>
        <c:smooth val="0"/>
        <c:axId val="635442928"/>
        <c:axId val="635444368"/>
      </c:lineChart>
      <c:catAx>
        <c:axId val="635442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444368"/>
        <c:crosses val="autoZero"/>
        <c:auto val="1"/>
        <c:lblAlgn val="ctr"/>
        <c:lblOffset val="100"/>
        <c:noMultiLvlLbl val="0"/>
      </c:catAx>
      <c:valAx>
        <c:axId val="6354443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44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[Excel_jumia_dashboard faybeth.xlsx]avg rating&amp;review(prod)!PivotTable6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2"/>
                </a:solidFill>
              </a:rPr>
              <a:t>Average of Ratings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hade val="65000"/>
            </a:schemeClr>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tint val="65000"/>
            </a:schemeClr>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hade val="65000"/>
            </a:schemeClr>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tint val="65000"/>
            </a:schemeClr>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hade val="65000"/>
            </a:schemeClr>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tint val="65000"/>
            </a:schemeClr>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hade val="65000"/>
            </a:schemeClr>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tint val="65000"/>
            </a:schemeClr>
          </a:solidFill>
          <a:ln w="19050">
            <a:solidFill>
              <a:schemeClr val="lt1"/>
            </a:solidFill>
          </a:ln>
          <a:effectLst/>
        </c:spPr>
      </c:pivotFmt>
    </c:pivotFmts>
    <c:plotArea>
      <c:layout/>
      <c:pieChart>
        <c:varyColors val="1"/>
        <c:ser>
          <c:idx val="0"/>
          <c:order val="0"/>
          <c:tx>
            <c:strRef>
              <c:f>'avg rating&amp;review(prod)'!$B$3</c:f>
              <c:strCache>
                <c:ptCount val="1"/>
                <c:pt idx="0">
                  <c:v>Average of Ratings</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64FC-4549-93FF-0214FFB67E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FC-4549-93FF-0214FFB67E5A}"/>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64FC-4549-93FF-0214FFB67E5A}"/>
              </c:ext>
            </c:extLst>
          </c:dPt>
          <c:cat>
            <c:strRef>
              <c:f>'avg rating&amp;review(prod)'!$A$4:$A$7</c:f>
              <c:strCache>
                <c:ptCount val="3"/>
                <c:pt idx="0">
                  <c:v>High Discount</c:v>
                </c:pt>
                <c:pt idx="1">
                  <c:v>Low Discount</c:v>
                </c:pt>
                <c:pt idx="2">
                  <c:v>Medium Discount</c:v>
                </c:pt>
              </c:strCache>
            </c:strRef>
          </c:cat>
          <c:val>
            <c:numRef>
              <c:f>'avg rating&amp;review(prod)'!$B$4:$B$7</c:f>
              <c:numCache>
                <c:formatCode>0.0</c:formatCode>
                <c:ptCount val="3"/>
                <c:pt idx="0">
                  <c:v>1.7483870967741932</c:v>
                </c:pt>
                <c:pt idx="1">
                  <c:v>0.82777777777777772</c:v>
                </c:pt>
                <c:pt idx="2">
                  <c:v>3.0750000000000006</c:v>
                </c:pt>
              </c:numCache>
            </c:numRef>
          </c:val>
          <c:extLst>
            <c:ext xmlns:c16="http://schemas.microsoft.com/office/drawing/2014/chart" uri="{C3380CC4-5D6E-409C-BE32-E72D297353CC}">
              <c16:uniqueId val="{00000006-64FC-4549-93FF-0214FFB67E5A}"/>
            </c:ext>
          </c:extLst>
        </c:ser>
        <c:ser>
          <c:idx val="1"/>
          <c:order val="1"/>
          <c:tx>
            <c:strRef>
              <c:f>'avg rating&amp;review(prod)'!$C$3</c:f>
              <c:strCache>
                <c:ptCount val="1"/>
                <c:pt idx="0">
                  <c:v>Average of Review</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8-64FC-4549-93FF-0214FFB67E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64FC-4549-93FF-0214FFB67E5A}"/>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C-64FC-4549-93FF-0214FFB67E5A}"/>
              </c:ext>
            </c:extLst>
          </c:dPt>
          <c:cat>
            <c:strRef>
              <c:f>'avg rating&amp;review(prod)'!$A$4:$A$7</c:f>
              <c:strCache>
                <c:ptCount val="3"/>
                <c:pt idx="0">
                  <c:v>High Discount</c:v>
                </c:pt>
                <c:pt idx="1">
                  <c:v>Low Discount</c:v>
                </c:pt>
                <c:pt idx="2">
                  <c:v>Medium Discount</c:v>
                </c:pt>
              </c:strCache>
            </c:strRef>
          </c:cat>
          <c:val>
            <c:numRef>
              <c:f>'avg rating&amp;review(prod)'!$C$4:$C$7</c:f>
              <c:numCache>
                <c:formatCode>0</c:formatCode>
                <c:ptCount val="3"/>
                <c:pt idx="0">
                  <c:v>5.387096774193548</c:v>
                </c:pt>
                <c:pt idx="1">
                  <c:v>2.1111111111111112</c:v>
                </c:pt>
                <c:pt idx="2">
                  <c:v>10.96875</c:v>
                </c:pt>
              </c:numCache>
            </c:numRef>
          </c:val>
          <c:extLst>
            <c:ext xmlns:c16="http://schemas.microsoft.com/office/drawing/2014/chart" uri="{C3380CC4-5D6E-409C-BE32-E72D297353CC}">
              <c16:uniqueId val="{0000000D-64FC-4549-93FF-0214FFB67E5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261412473556282"/>
          <c:y val="0.46361139640153687"/>
          <c:w val="0.31738587526443723"/>
          <c:h val="0.314757883525428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Ratings</a:t>
            </a:r>
            <a:r>
              <a:rPr lang="en-US" baseline="0">
                <a:solidFill>
                  <a:schemeClr val="accent2"/>
                </a:solidFill>
              </a:rPr>
              <a:t> vs Number of Reviews</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'analysis(rating$reviews'!$B$1</c:f>
              <c:strCache>
                <c:ptCount val="1"/>
                <c:pt idx="0">
                  <c:v>Review</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linear"/>
            <c:dispRSqr val="1"/>
            <c:dispEq val="1"/>
            <c:trendlineLbl>
              <c:layout>
                <c:manualLayout>
                  <c:x val="0.15209055118110237"/>
                  <c:y val="-0.4352369495479731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'analysis(rating$reviews'!$A$2:$A$118</c:f>
              <c:numCache>
                <c:formatCode>General</c:formatCode>
                <c:ptCount val="117"/>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4">
                  <c:v>0</c:v>
                </c:pt>
                <c:pt idx="75">
                  <c:v>0</c:v>
                </c:pt>
                <c:pt idx="76">
                  <c:v>0</c:v>
                </c:pt>
                <c:pt idx="77">
                  <c:v>0</c:v>
                </c:pt>
                <c:pt idx="78">
                  <c:v>3</c:v>
                </c:pt>
                <c:pt idx="79">
                  <c:v>5</c:v>
                </c:pt>
                <c:pt idx="80">
                  <c:v>0</c:v>
                </c:pt>
                <c:pt idx="81">
                  <c:v>0</c:v>
                </c:pt>
                <c:pt idx="82">
                  <c:v>4</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5</c:v>
                </c:pt>
                <c:pt idx="102">
                  <c:v>0</c:v>
                </c:pt>
                <c:pt idx="103">
                  <c:v>0</c:v>
                </c:pt>
                <c:pt idx="104">
                  <c:v>0</c:v>
                </c:pt>
                <c:pt idx="105">
                  <c:v>0</c:v>
                </c:pt>
                <c:pt idx="106">
                  <c:v>0</c:v>
                </c:pt>
                <c:pt idx="107">
                  <c:v>0</c:v>
                </c:pt>
                <c:pt idx="108">
                  <c:v>0</c:v>
                </c:pt>
                <c:pt idx="109">
                  <c:v>0</c:v>
                </c:pt>
                <c:pt idx="110">
                  <c:v>2</c:v>
                </c:pt>
                <c:pt idx="111">
                  <c:v>0</c:v>
                </c:pt>
              </c:numCache>
            </c:numRef>
          </c:xVal>
          <c:yVal>
            <c:numRef>
              <c:f>'analysis(rating$reviews'!$B$2:$B$118</c:f>
              <c:numCache>
                <c:formatCode>General</c:formatCode>
                <c:ptCount val="117"/>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0-493A-4775-A71E-28DC2D80E4D8}"/>
            </c:ext>
          </c:extLst>
        </c:ser>
        <c:dLbls>
          <c:showLegendKey val="0"/>
          <c:showVal val="0"/>
          <c:showCatName val="0"/>
          <c:showSerName val="0"/>
          <c:showPercent val="0"/>
          <c:showBubbleSize val="0"/>
        </c:dLbls>
        <c:axId val="646387920"/>
        <c:axId val="646403400"/>
      </c:scatterChart>
      <c:valAx>
        <c:axId val="6463879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403400"/>
        <c:crosses val="autoZero"/>
        <c:crossBetween val="midCat"/>
      </c:valAx>
      <c:valAx>
        <c:axId val="646403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a:t>
                </a:r>
                <a:r>
                  <a:rPr lang="en-US" baseline="0"/>
                  <a:t> Reviews</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387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Discount</a:t>
            </a:r>
            <a:r>
              <a:rPr lang="en-US" b="1" baseline="0">
                <a:solidFill>
                  <a:schemeClr val="accent2"/>
                </a:solidFill>
              </a:rPr>
              <a:t> percentage vs number of review</a:t>
            </a:r>
            <a:endParaRPr lang="en-US"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'analysis(disc$reviews'!$B$1</c:f>
              <c:strCache>
                <c:ptCount val="1"/>
                <c:pt idx="0">
                  <c:v>Review</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linear"/>
            <c:dispRSqr val="1"/>
            <c:dispEq val="1"/>
            <c:trendlineLbl>
              <c:layout>
                <c:manualLayout>
                  <c:x val="8.5844488188976373E-2"/>
                  <c:y val="-0.4843828375619714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'analysis(disc$reviews'!$A$2:$A$118</c:f>
              <c:numCache>
                <c:formatCode>General</c:formatCode>
                <c:ptCount val="117"/>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'analysis(disc$reviews'!$B$2:$B$118</c:f>
              <c:numCache>
                <c:formatCode>General</c:formatCode>
                <c:ptCount val="117"/>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0-931D-418C-A4BF-C52CCC4B3D16}"/>
            </c:ext>
          </c:extLst>
        </c:ser>
        <c:dLbls>
          <c:showLegendKey val="0"/>
          <c:showVal val="0"/>
          <c:showCatName val="0"/>
          <c:showSerName val="0"/>
          <c:showPercent val="0"/>
          <c:showBubbleSize val="0"/>
        </c:dLbls>
        <c:axId val="635414848"/>
        <c:axId val="635417008"/>
      </c:scatterChart>
      <c:valAx>
        <c:axId val="6354148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417008"/>
        <c:crosses val="autoZero"/>
        <c:crossBetween val="midCat"/>
      </c:valAx>
      <c:valAx>
        <c:axId val="635417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reviews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4148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121920</xdr:colOff>
      <xdr:row>5</xdr:row>
      <xdr:rowOff>129540</xdr:rowOff>
    </xdr:from>
    <xdr:to>
      <xdr:col>10</xdr:col>
      <xdr:colOff>426720</xdr:colOff>
      <xdr:row>20</xdr:row>
      <xdr:rowOff>129540</xdr:rowOff>
    </xdr:to>
    <xdr:graphicFrame macro="">
      <xdr:nvGraphicFramePr>
        <xdr:cNvPr id="2" name="Chart 1">
          <a:extLst>
            <a:ext uri="{FF2B5EF4-FFF2-40B4-BE49-F238E27FC236}">
              <a16:creationId xmlns:a16="http://schemas.microsoft.com/office/drawing/2014/main" id="{C94DE546-5531-E07D-9D8E-F773C59C3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xdr:colOff>
      <xdr:row>3</xdr:row>
      <xdr:rowOff>22860</xdr:rowOff>
    </xdr:from>
    <xdr:to>
      <xdr:col>9</xdr:col>
      <xdr:colOff>419100</xdr:colOff>
      <xdr:row>18</xdr:row>
      <xdr:rowOff>22860</xdr:rowOff>
    </xdr:to>
    <xdr:graphicFrame macro="">
      <xdr:nvGraphicFramePr>
        <xdr:cNvPr id="2" name="Chart 1">
          <a:extLst>
            <a:ext uri="{FF2B5EF4-FFF2-40B4-BE49-F238E27FC236}">
              <a16:creationId xmlns:a16="http://schemas.microsoft.com/office/drawing/2014/main" id="{7B351957-50A2-BD53-5817-4F831B35A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1630680</xdr:colOff>
      <xdr:row>14</xdr:row>
      <xdr:rowOff>152401</xdr:rowOff>
    </xdr:from>
    <xdr:to>
      <xdr:col>0</xdr:col>
      <xdr:colOff>3337560</xdr:colOff>
      <xdr:row>24</xdr:row>
      <xdr:rowOff>38101</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7A8448BD-D868-DBF3-E282-37CCC7F4A37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630680" y="2712721"/>
              <a:ext cx="170688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4625340</xdr:colOff>
      <xdr:row>16</xdr:row>
      <xdr:rowOff>129541</xdr:rowOff>
    </xdr:from>
    <xdr:to>
      <xdr:col>2</xdr:col>
      <xdr:colOff>160020</xdr:colOff>
      <xdr:row>24</xdr:row>
      <xdr:rowOff>121921</xdr:rowOff>
    </xdr:to>
    <mc:AlternateContent xmlns:mc="http://schemas.openxmlformats.org/markup-compatibility/2006" xmlns:a14="http://schemas.microsoft.com/office/drawing/2010/main">
      <mc:Choice Requires="a14">
        <xdr:graphicFrame macro="">
          <xdr:nvGraphicFramePr>
            <xdr:cNvPr id="4" name="Discount category">
              <a:extLst>
                <a:ext uri="{FF2B5EF4-FFF2-40B4-BE49-F238E27FC236}">
                  <a16:creationId xmlns:a16="http://schemas.microsoft.com/office/drawing/2014/main" id="{EB4FA3B5-0153-B794-8C25-509B0AD0F21E}"/>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4625340" y="3055621"/>
              <a:ext cx="1470660" cy="1455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381000</xdr:colOff>
      <xdr:row>19</xdr:row>
      <xdr:rowOff>68581</xdr:rowOff>
    </xdr:from>
    <xdr:to>
      <xdr:col>7</xdr:col>
      <xdr:colOff>266700</xdr:colOff>
      <xdr:row>26</xdr:row>
      <xdr:rowOff>114301</xdr:rowOff>
    </xdr:to>
    <mc:AlternateContent xmlns:mc="http://schemas.openxmlformats.org/markup-compatibility/2006" xmlns:a14="http://schemas.microsoft.com/office/drawing/2010/main">
      <mc:Choice Requires="a14">
        <xdr:graphicFrame macro="">
          <xdr:nvGraphicFramePr>
            <xdr:cNvPr id="5" name="Ratings category">
              <a:extLst>
                <a:ext uri="{FF2B5EF4-FFF2-40B4-BE49-F238E27FC236}">
                  <a16:creationId xmlns:a16="http://schemas.microsoft.com/office/drawing/2014/main" id="{C6C108CF-CB38-A176-F0A1-89D34E7B2AD4}"/>
                </a:ext>
              </a:extLst>
            </xdr:cNvPr>
            <xdr:cNvGraphicFramePr/>
          </xdr:nvGraphicFramePr>
          <xdr:xfrm>
            <a:off x="0" y="0"/>
            <a:ext cx="0" cy="0"/>
          </xdr:xfrm>
          <a:graphic>
            <a:graphicData uri="http://schemas.microsoft.com/office/drawing/2010/slicer">
              <sle:slicer xmlns:sle="http://schemas.microsoft.com/office/drawing/2010/slicer" name="Ratings category"/>
            </a:graphicData>
          </a:graphic>
        </xdr:graphicFrame>
      </mc:Choice>
      <mc:Fallback xmlns="">
        <xdr:sp macro="" textlink="">
          <xdr:nvSpPr>
            <xdr:cNvPr id="0" name=""/>
            <xdr:cNvSpPr>
              <a:spLocks noTextEdit="1"/>
            </xdr:cNvSpPr>
          </xdr:nvSpPr>
          <xdr:spPr>
            <a:xfrm>
              <a:off x="7536180" y="3543301"/>
              <a:ext cx="1714500" cy="1325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388620</xdr:colOff>
      <xdr:row>4</xdr:row>
      <xdr:rowOff>30480</xdr:rowOff>
    </xdr:from>
    <xdr:to>
      <xdr:col>10</xdr:col>
      <xdr:colOff>83820</xdr:colOff>
      <xdr:row>19</xdr:row>
      <xdr:rowOff>144780</xdr:rowOff>
    </xdr:to>
    <xdr:graphicFrame macro="">
      <xdr:nvGraphicFramePr>
        <xdr:cNvPr id="2" name="Chart 1">
          <a:extLst>
            <a:ext uri="{FF2B5EF4-FFF2-40B4-BE49-F238E27FC236}">
              <a16:creationId xmlns:a16="http://schemas.microsoft.com/office/drawing/2014/main" id="{475CCC22-CDD5-8DDC-BB93-35C44E010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213360</xdr:colOff>
      <xdr:row>0</xdr:row>
      <xdr:rowOff>38100</xdr:rowOff>
    </xdr:from>
    <xdr:to>
      <xdr:col>13</xdr:col>
      <xdr:colOff>518160</xdr:colOff>
      <xdr:row>15</xdr:row>
      <xdr:rowOff>38100</xdr:rowOff>
    </xdr:to>
    <xdr:graphicFrame macro="">
      <xdr:nvGraphicFramePr>
        <xdr:cNvPr id="2" name="Chart 1">
          <a:extLst>
            <a:ext uri="{FF2B5EF4-FFF2-40B4-BE49-F238E27FC236}">
              <a16:creationId xmlns:a16="http://schemas.microsoft.com/office/drawing/2014/main" id="{B56B6EDC-BC46-481C-5E1A-6BBFB9F83C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182880</xdr:colOff>
      <xdr:row>8</xdr:row>
      <xdr:rowOff>30480</xdr:rowOff>
    </xdr:from>
    <xdr:to>
      <xdr:col>4</xdr:col>
      <xdr:colOff>541020</xdr:colOff>
      <xdr:row>23</xdr:row>
      <xdr:rowOff>30480</xdr:rowOff>
    </xdr:to>
    <xdr:graphicFrame macro="">
      <xdr:nvGraphicFramePr>
        <xdr:cNvPr id="3" name="Chart 2">
          <a:extLst>
            <a:ext uri="{FF2B5EF4-FFF2-40B4-BE49-F238E27FC236}">
              <a16:creationId xmlns:a16="http://schemas.microsoft.com/office/drawing/2014/main" id="{7DB22829-B260-F7A5-EC0D-EB15A8803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304800</xdr:colOff>
      <xdr:row>0</xdr:row>
      <xdr:rowOff>60960</xdr:rowOff>
    </xdr:from>
    <xdr:to>
      <xdr:col>16</xdr:col>
      <xdr:colOff>594360</xdr:colOff>
      <xdr:row>3</xdr:row>
      <xdr:rowOff>22860</xdr:rowOff>
    </xdr:to>
    <xdr:sp macro="" textlink="">
      <xdr:nvSpPr>
        <xdr:cNvPr id="2" name="Rectangle: Rounded Corners 1">
          <a:extLst>
            <a:ext uri="{FF2B5EF4-FFF2-40B4-BE49-F238E27FC236}">
              <a16:creationId xmlns:a16="http://schemas.microsoft.com/office/drawing/2014/main" id="{492736A7-4EC7-7AB2-A170-53A1AFA32A37}"/>
            </a:ext>
          </a:extLst>
        </xdr:cNvPr>
        <xdr:cNvSpPr/>
      </xdr:nvSpPr>
      <xdr:spPr>
        <a:xfrm>
          <a:off x="3962400" y="60960"/>
          <a:ext cx="6385560" cy="51054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2000" b="1"/>
            <a:t>JUMIA PRODUCT PERFORMANCE ANALYSIS DASHBOARD</a:t>
          </a:r>
        </a:p>
      </xdr:txBody>
    </xdr:sp>
    <xdr:clientData/>
  </xdr:twoCellAnchor>
  <xdr:twoCellAnchor editAs="oneCell">
    <xdr:from>
      <xdr:col>0</xdr:col>
      <xdr:colOff>0</xdr:colOff>
      <xdr:row>1</xdr:row>
      <xdr:rowOff>45720</xdr:rowOff>
    </xdr:from>
    <xdr:to>
      <xdr:col>2</xdr:col>
      <xdr:colOff>441960</xdr:colOff>
      <xdr:row>10</xdr:row>
      <xdr:rowOff>114300</xdr:rowOff>
    </xdr:to>
    <mc:AlternateContent xmlns:mc="http://schemas.openxmlformats.org/markup-compatibility/2006" xmlns:a14="http://schemas.microsoft.com/office/drawing/2010/main">
      <mc:Choice Requires="a14">
        <xdr:graphicFrame macro="">
          <xdr:nvGraphicFramePr>
            <xdr:cNvPr id="4" name="Product category 1">
              <a:extLst>
                <a:ext uri="{FF2B5EF4-FFF2-40B4-BE49-F238E27FC236}">
                  <a16:creationId xmlns:a16="http://schemas.microsoft.com/office/drawing/2014/main" id="{61D52A33-6F88-4954-98FC-88562667434F}"/>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228600"/>
              <a:ext cx="166116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121920</xdr:rowOff>
    </xdr:from>
    <xdr:to>
      <xdr:col>2</xdr:col>
      <xdr:colOff>457200</xdr:colOff>
      <xdr:row>16</xdr:row>
      <xdr:rowOff>175260</xdr:rowOff>
    </xdr:to>
    <mc:AlternateContent xmlns:mc="http://schemas.openxmlformats.org/markup-compatibility/2006" xmlns:a14="http://schemas.microsoft.com/office/drawing/2010/main">
      <mc:Choice Requires="a14">
        <xdr:graphicFrame macro="">
          <xdr:nvGraphicFramePr>
            <xdr:cNvPr id="6" name="Discount category 1">
              <a:extLst>
                <a:ext uri="{FF2B5EF4-FFF2-40B4-BE49-F238E27FC236}">
                  <a16:creationId xmlns:a16="http://schemas.microsoft.com/office/drawing/2014/main" id="{9F35C78D-5AD6-49F1-A000-5153F3CC0D9B}"/>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0" y="1950720"/>
              <a:ext cx="167640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0</xdr:rowOff>
    </xdr:from>
    <xdr:to>
      <xdr:col>2</xdr:col>
      <xdr:colOff>449580</xdr:colOff>
      <xdr:row>24</xdr:row>
      <xdr:rowOff>45720</xdr:rowOff>
    </xdr:to>
    <mc:AlternateContent xmlns:mc="http://schemas.openxmlformats.org/markup-compatibility/2006" xmlns:a14="http://schemas.microsoft.com/office/drawing/2010/main">
      <mc:Choice Requires="a14">
        <xdr:graphicFrame macro="">
          <xdr:nvGraphicFramePr>
            <xdr:cNvPr id="8" name="Ratings category 1">
              <a:extLst>
                <a:ext uri="{FF2B5EF4-FFF2-40B4-BE49-F238E27FC236}">
                  <a16:creationId xmlns:a16="http://schemas.microsoft.com/office/drawing/2014/main" id="{6FB14995-6288-48EA-8264-88A7D145C70C}"/>
                </a:ext>
              </a:extLst>
            </xdr:cNvPr>
            <xdr:cNvGraphicFramePr/>
          </xdr:nvGraphicFramePr>
          <xdr:xfrm>
            <a:off x="0" y="0"/>
            <a:ext cx="0" cy="0"/>
          </xdr:xfrm>
          <a:graphic>
            <a:graphicData uri="http://schemas.microsoft.com/office/drawing/2010/slicer">
              <sle:slicer xmlns:sle="http://schemas.microsoft.com/office/drawing/2010/slicer" name="Ratings category 1"/>
            </a:graphicData>
          </a:graphic>
        </xdr:graphicFrame>
      </mc:Choice>
      <mc:Fallback xmlns="">
        <xdr:sp macro="" textlink="">
          <xdr:nvSpPr>
            <xdr:cNvPr id="0" name=""/>
            <xdr:cNvSpPr>
              <a:spLocks noTextEdit="1"/>
            </xdr:cNvSpPr>
          </xdr:nvSpPr>
          <xdr:spPr>
            <a:xfrm>
              <a:off x="0" y="3108960"/>
              <a:ext cx="1668780" cy="1325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533400</xdr:colOff>
      <xdr:row>3</xdr:row>
      <xdr:rowOff>30480</xdr:rowOff>
    </xdr:from>
    <xdr:to>
      <xdr:col>6</xdr:col>
      <xdr:colOff>182880</xdr:colOff>
      <xdr:row>6</xdr:row>
      <xdr:rowOff>114300</xdr:rowOff>
    </xdr:to>
    <xdr:sp macro="" textlink="">
      <xdr:nvSpPr>
        <xdr:cNvPr id="9" name="Rectangle: Rounded Corners 8">
          <a:extLst>
            <a:ext uri="{FF2B5EF4-FFF2-40B4-BE49-F238E27FC236}">
              <a16:creationId xmlns:a16="http://schemas.microsoft.com/office/drawing/2014/main" id="{D849111C-C521-A3C9-C0CF-9194230BA7B2}"/>
            </a:ext>
          </a:extLst>
        </xdr:cNvPr>
        <xdr:cNvSpPr/>
      </xdr:nvSpPr>
      <xdr:spPr>
        <a:xfrm>
          <a:off x="1752600" y="579120"/>
          <a:ext cx="2087880" cy="632460"/>
        </a:xfrm>
        <a:prstGeom prst="round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US" sz="1200" b="1"/>
            <a:t>TOTAL REVIEWS </a:t>
          </a:r>
          <a:r>
            <a:rPr lang="en-US" sz="1200" b="1" i="0" u="none" strike="noStrike">
              <a:solidFill>
                <a:schemeClr val="lt1"/>
              </a:solidFill>
              <a:effectLst/>
              <a:latin typeface="+mn-lt"/>
              <a:ea typeface="+mn-ea"/>
              <a:cs typeface="+mn-cs"/>
            </a:rPr>
            <a:t>221.7</a:t>
          </a:r>
          <a:r>
            <a:rPr lang="en-US" sz="1200" b="1"/>
            <a:t> </a:t>
          </a:r>
        </a:p>
      </xdr:txBody>
    </xdr:sp>
    <xdr:clientData/>
  </xdr:twoCellAnchor>
  <xdr:twoCellAnchor>
    <xdr:from>
      <xdr:col>6</xdr:col>
      <xdr:colOff>251460</xdr:colOff>
      <xdr:row>3</xdr:row>
      <xdr:rowOff>38100</xdr:rowOff>
    </xdr:from>
    <xdr:to>
      <xdr:col>12</xdr:col>
      <xdr:colOff>106680</xdr:colOff>
      <xdr:row>6</xdr:row>
      <xdr:rowOff>106680</xdr:rowOff>
    </xdr:to>
    <xdr:sp macro="" textlink="">
      <xdr:nvSpPr>
        <xdr:cNvPr id="10" name="Rectangle: Rounded Corners 9">
          <a:extLst>
            <a:ext uri="{FF2B5EF4-FFF2-40B4-BE49-F238E27FC236}">
              <a16:creationId xmlns:a16="http://schemas.microsoft.com/office/drawing/2014/main" id="{30A1C1C9-00ED-B0DC-60BF-984266124ADB}"/>
            </a:ext>
          </a:extLst>
        </xdr:cNvPr>
        <xdr:cNvSpPr/>
      </xdr:nvSpPr>
      <xdr:spPr>
        <a:xfrm>
          <a:off x="3909060" y="586740"/>
          <a:ext cx="3512820" cy="617220"/>
        </a:xfrm>
        <a:prstGeom prst="round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US" sz="1200" b="1"/>
            <a:t>AVERAGE PERCENTAGE DISCOUNT </a:t>
          </a:r>
          <a:r>
            <a:rPr lang="en-US" sz="1200" b="1" i="0" u="none" strike="noStrike">
              <a:solidFill>
                <a:schemeClr val="lt1"/>
              </a:solidFill>
              <a:effectLst/>
              <a:latin typeface="+mn-lt"/>
              <a:ea typeface="+mn-ea"/>
              <a:cs typeface="+mn-cs"/>
            </a:rPr>
            <a:t>0.367767857</a:t>
          </a:r>
          <a:r>
            <a:rPr lang="en-US" sz="1200" b="1"/>
            <a:t> </a:t>
          </a:r>
        </a:p>
      </xdr:txBody>
    </xdr:sp>
    <xdr:clientData/>
  </xdr:twoCellAnchor>
  <xdr:twoCellAnchor>
    <xdr:from>
      <xdr:col>12</xdr:col>
      <xdr:colOff>205740</xdr:colOff>
      <xdr:row>3</xdr:row>
      <xdr:rowOff>30480</xdr:rowOff>
    </xdr:from>
    <xdr:to>
      <xdr:col>15</xdr:col>
      <xdr:colOff>525780</xdr:colOff>
      <xdr:row>6</xdr:row>
      <xdr:rowOff>91440</xdr:rowOff>
    </xdr:to>
    <xdr:sp macro="" textlink="">
      <xdr:nvSpPr>
        <xdr:cNvPr id="11" name="Rectangle: Rounded Corners 10">
          <a:extLst>
            <a:ext uri="{FF2B5EF4-FFF2-40B4-BE49-F238E27FC236}">
              <a16:creationId xmlns:a16="http://schemas.microsoft.com/office/drawing/2014/main" id="{123F8D2A-2F10-C32D-B39B-37D5AB54F2C4}"/>
            </a:ext>
          </a:extLst>
        </xdr:cNvPr>
        <xdr:cNvSpPr/>
      </xdr:nvSpPr>
      <xdr:spPr>
        <a:xfrm>
          <a:off x="7520940" y="579120"/>
          <a:ext cx="2148840" cy="609600"/>
        </a:xfrm>
        <a:prstGeom prst="round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US" sz="1200" b="1"/>
            <a:t>AVERAGE RATING 2</a:t>
          </a:r>
        </a:p>
      </xdr:txBody>
    </xdr:sp>
    <xdr:clientData/>
  </xdr:twoCellAnchor>
  <xdr:twoCellAnchor>
    <xdr:from>
      <xdr:col>16</xdr:col>
      <xdr:colOff>0</xdr:colOff>
      <xdr:row>3</xdr:row>
      <xdr:rowOff>60960</xdr:rowOff>
    </xdr:from>
    <xdr:to>
      <xdr:col>19</xdr:col>
      <xdr:colOff>434340</xdr:colOff>
      <xdr:row>6</xdr:row>
      <xdr:rowOff>121920</xdr:rowOff>
    </xdr:to>
    <xdr:sp macro="" textlink="">
      <xdr:nvSpPr>
        <xdr:cNvPr id="12" name="Rectangle: Rounded Corners 11">
          <a:extLst>
            <a:ext uri="{FF2B5EF4-FFF2-40B4-BE49-F238E27FC236}">
              <a16:creationId xmlns:a16="http://schemas.microsoft.com/office/drawing/2014/main" id="{129B4ED6-E5F8-A1B5-73F1-35CE28429931}"/>
            </a:ext>
          </a:extLst>
        </xdr:cNvPr>
        <xdr:cNvSpPr/>
      </xdr:nvSpPr>
      <xdr:spPr>
        <a:xfrm>
          <a:off x="9753600" y="609600"/>
          <a:ext cx="2263140" cy="609600"/>
        </a:xfrm>
        <a:prstGeom prst="round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US" sz="1200" b="1"/>
            <a:t>AVERAGE</a:t>
          </a:r>
          <a:r>
            <a:rPr lang="en-US" sz="1200" b="1" baseline="0"/>
            <a:t> REVIEWS </a:t>
          </a:r>
          <a:r>
            <a:rPr lang="en-US" sz="1200" b="1" i="0" u="none" strike="noStrike">
              <a:solidFill>
                <a:schemeClr val="lt1"/>
              </a:solidFill>
              <a:effectLst/>
              <a:latin typeface="+mn-lt"/>
              <a:ea typeface="+mn-ea"/>
              <a:cs typeface="+mn-cs"/>
            </a:rPr>
            <a:t>6.398230088</a:t>
          </a:r>
          <a:r>
            <a:rPr lang="en-US" sz="1200" b="1"/>
            <a:t> </a:t>
          </a:r>
        </a:p>
      </xdr:txBody>
    </xdr:sp>
    <xdr:clientData/>
  </xdr:twoCellAnchor>
  <xdr:twoCellAnchor>
    <xdr:from>
      <xdr:col>2</xdr:col>
      <xdr:colOff>457200</xdr:colOff>
      <xdr:row>6</xdr:row>
      <xdr:rowOff>152400</xdr:rowOff>
    </xdr:from>
    <xdr:to>
      <xdr:col>9</xdr:col>
      <xdr:colOff>335280</xdr:colOff>
      <xdr:row>21</xdr:row>
      <xdr:rowOff>152400</xdr:rowOff>
    </xdr:to>
    <xdr:graphicFrame macro="">
      <xdr:nvGraphicFramePr>
        <xdr:cNvPr id="14" name="Chart 13">
          <a:extLst>
            <a:ext uri="{FF2B5EF4-FFF2-40B4-BE49-F238E27FC236}">
              <a16:creationId xmlns:a16="http://schemas.microsoft.com/office/drawing/2014/main" id="{8051B446-AB69-4AD2-856E-16E3EDD2D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457200</xdr:colOff>
      <xdr:row>6</xdr:row>
      <xdr:rowOff>167640</xdr:rowOff>
    </xdr:from>
    <xdr:to>
      <xdr:col>17</xdr:col>
      <xdr:colOff>152400</xdr:colOff>
      <xdr:row>21</xdr:row>
      <xdr:rowOff>137160</xdr:rowOff>
    </xdr:to>
    <xdr:graphicFrame macro="">
      <xdr:nvGraphicFramePr>
        <xdr:cNvPr id="16" name="Chart 15">
          <a:extLst>
            <a:ext uri="{FF2B5EF4-FFF2-40B4-BE49-F238E27FC236}">
              <a16:creationId xmlns:a16="http://schemas.microsoft.com/office/drawing/2014/main" id="{5A6E1550-A8F5-48B3-B6BC-102DF266C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449580</xdr:colOff>
      <xdr:row>22</xdr:row>
      <xdr:rowOff>30480</xdr:rowOff>
    </xdr:from>
    <xdr:to>
      <xdr:col>16</xdr:col>
      <xdr:colOff>350520</xdr:colOff>
      <xdr:row>36</xdr:row>
      <xdr:rowOff>152400</xdr:rowOff>
    </xdr:to>
    <xdr:graphicFrame macro="">
      <xdr:nvGraphicFramePr>
        <xdr:cNvPr id="18" name="Chart 17">
          <a:extLst>
            <a:ext uri="{FF2B5EF4-FFF2-40B4-BE49-F238E27FC236}">
              <a16:creationId xmlns:a16="http://schemas.microsoft.com/office/drawing/2014/main" id="{D33F25E8-8DC3-4CFC-A3D8-549487487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502920</xdr:colOff>
      <xdr:row>22</xdr:row>
      <xdr:rowOff>22860</xdr:rowOff>
    </xdr:from>
    <xdr:to>
      <xdr:col>9</xdr:col>
      <xdr:colOff>320040</xdr:colOff>
      <xdr:row>36</xdr:row>
      <xdr:rowOff>175260</xdr:rowOff>
    </xdr:to>
    <xdr:graphicFrame macro="">
      <xdr:nvGraphicFramePr>
        <xdr:cNvPr id="24" name="Chart 23">
          <a:extLst>
            <a:ext uri="{FF2B5EF4-FFF2-40B4-BE49-F238E27FC236}">
              <a16:creationId xmlns:a16="http://schemas.microsoft.com/office/drawing/2014/main" id="{6F21FEC9-188F-49EF-A899-EF0A4DB7A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339090</xdr:colOff>
      <xdr:row>5</xdr:row>
      <xdr:rowOff>41910</xdr:rowOff>
    </xdr:from>
    <xdr:to>
      <xdr:col>15</xdr:col>
      <xdr:colOff>34290</xdr:colOff>
      <xdr:row>20</xdr:row>
      <xdr:rowOff>41910</xdr:rowOff>
    </xdr:to>
    <xdr:graphicFrame macro="">
      <xdr:nvGraphicFramePr>
        <xdr:cNvPr id="2" name="Chart 1">
          <a:extLst>
            <a:ext uri="{FF2B5EF4-FFF2-40B4-BE49-F238E27FC236}">
              <a16:creationId xmlns:a16="http://schemas.microsoft.com/office/drawing/2014/main" id="{1CBE6A5D-E3AA-CFDE-09AF-02BA04C47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411480</xdr:colOff>
      <xdr:row>5</xdr:row>
      <xdr:rowOff>41910</xdr:rowOff>
    </xdr:from>
    <xdr:to>
      <xdr:col>15</xdr:col>
      <xdr:colOff>106680</xdr:colOff>
      <xdr:row>20</xdr:row>
      <xdr:rowOff>41910</xdr:rowOff>
    </xdr:to>
    <xdr:graphicFrame macro="">
      <xdr:nvGraphicFramePr>
        <xdr:cNvPr id="2" name="Chart 1">
          <a:extLst>
            <a:ext uri="{FF2B5EF4-FFF2-40B4-BE49-F238E27FC236}">
              <a16:creationId xmlns:a16="http://schemas.microsoft.com/office/drawing/2014/main" id="{3B1BF3CA-C01A-A3F4-536C-823C51013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on" refreshedDate="45878.690385416667" createdVersion="8" refreshedVersion="8" minRefreshableVersion="3" recordCount="112" xr:uid="{0109E4E0-FBE2-407E-9180-1F60175341E4}">
  <cacheSource type="worksheet">
    <worksheetSource ref="A1:K113" sheet="Sheet2"/>
  </cacheSource>
  <cacheFields count="11">
    <cacheField name="Product Name"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Product category" numFmtId="0">
      <sharedItems count="5">
        <s v="Tools &amp; Equipment"/>
        <s v="Home Decor"/>
        <s v="Home Appliances"/>
        <s v="Other"/>
        <s v="Bags &amp; Storage"/>
      </sharedItems>
    </cacheField>
    <cacheField name="Current Price(KSh)" numFmtId="1">
      <sharedItems containsMixedTypes="1" containsNumber="1" containsInteger="1" minValue="38" maxValue="3750"/>
    </cacheField>
    <cacheField name="Old Price(kSh)" numFmtId="1">
      <sharedItems containsMixedTypes="1" containsNumber="1" containsInteger="1" minValue="80" maxValue="6143"/>
    </cacheField>
    <cacheField name="Absolute Discount Amt(KSh)" numFmtId="1">
      <sharedItems containsMixedTypes="1" containsNumber="1" containsInteger="1" minValue="24" maxValue="2585"/>
    </cacheField>
    <cacheField name="Discount(%)" numFmtId="2">
      <sharedItems containsSemiMixedTypes="0" containsString="0" containsNumber="1" minValue="0.01" maxValue="0.64"/>
    </cacheField>
    <cacheField name="Discount category" numFmtId="2">
      <sharedItems count="3">
        <s v="Medium Discount"/>
        <s v="High Discount"/>
        <s v="Low Discount"/>
      </sharedItems>
    </cacheField>
    <cacheField name="Review" numFmtId="1">
      <sharedItems containsSemiMixedTypes="0" containsString="0" containsNumber="1" containsInteger="1" minValue="0" maxValue="69"/>
    </cacheField>
    <cacheField name="Ratingd" numFmtId="2">
      <sharedItems/>
    </cacheField>
    <cacheField name="Ratings" numFmtId="164">
      <sharedItems containsSemiMixedTypes="0" containsString="0" containsNumber="1" minValue="0" maxValue="5"/>
    </cacheField>
    <cacheField name="Ratings category" numFmtId="0">
      <sharedItems count="3">
        <s v="Excellent"/>
        <s v="Average"/>
        <s v="Poor"/>
      </sharedItems>
    </cacheField>
  </cacheFields>
  <extLst>
    <ext xmlns:x14="http://schemas.microsoft.com/office/spreadsheetml/2009/9/main" uri="{725AE2AE-9491-48be-B2B4-4EB974FC3084}">
      <x14:pivotCacheDefinition pivotCacheId="14301946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x v="0"/>
    <n v="950"/>
    <n v="1525"/>
    <n v="575"/>
    <n v="0.38"/>
    <x v="0"/>
    <n v="2"/>
    <s v="4.5 out of 5"/>
    <n v="4.5"/>
    <x v="0"/>
  </r>
  <r>
    <x v="1"/>
    <x v="1"/>
    <n v="527"/>
    <n v="999"/>
    <n v="472"/>
    <n v="0.47"/>
    <x v="1"/>
    <n v="14"/>
    <s v="4.1 out of 5"/>
    <n v="4.0999999999999996"/>
    <x v="1"/>
  </r>
  <r>
    <x v="2"/>
    <x v="2"/>
    <n v="2199"/>
    <n v="2923"/>
    <n v="724"/>
    <n v="0.25"/>
    <x v="0"/>
    <n v="24"/>
    <s v="4.6 out of 5"/>
    <n v="4.5999999999999996"/>
    <x v="0"/>
  </r>
  <r>
    <x v="3"/>
    <x v="0"/>
    <n v="1580"/>
    <n v="2499"/>
    <n v="919"/>
    <n v="0.37"/>
    <x v="0"/>
    <n v="7"/>
    <s v="4.7 out of 5"/>
    <n v="4.7"/>
    <x v="0"/>
  </r>
  <r>
    <x v="4"/>
    <x v="2"/>
    <n v="1740"/>
    <n v="2356"/>
    <n v="616"/>
    <n v="0.26"/>
    <x v="0"/>
    <n v="5"/>
    <s v="4.8 out of 5"/>
    <n v="4.8"/>
    <x v="0"/>
  </r>
  <r>
    <x v="5"/>
    <x v="0"/>
    <n v="2999"/>
    <n v="3290"/>
    <n v="291"/>
    <n v="0.09"/>
    <x v="2"/>
    <n v="15"/>
    <s v="4 out of 5"/>
    <n v="4"/>
    <x v="1"/>
  </r>
  <r>
    <x v="6"/>
    <x v="0"/>
    <n v="2319"/>
    <n v="3032"/>
    <n v="713"/>
    <n v="0.24"/>
    <x v="0"/>
    <n v="55"/>
    <s v="4.6 out of 5"/>
    <n v="4.5999999999999996"/>
    <x v="0"/>
  </r>
  <r>
    <x v="7"/>
    <x v="2"/>
    <n v="988"/>
    <n v="1580"/>
    <n v="592"/>
    <n v="0.37"/>
    <x v="0"/>
    <n v="2"/>
    <s v="4 out of 5"/>
    <n v="4"/>
    <x v="1"/>
  </r>
  <r>
    <x v="8"/>
    <x v="3"/>
    <n v="1274"/>
    <n v="2800"/>
    <n v="1526"/>
    <n v="0.55000000000000004"/>
    <x v="1"/>
    <n v="5"/>
    <s v="4.8 out of 5"/>
    <n v="4.8"/>
    <x v="0"/>
  </r>
  <r>
    <x v="9"/>
    <x v="0"/>
    <n v="1600"/>
    <n v="2929"/>
    <n v="1329"/>
    <n v="0.45"/>
    <x v="1"/>
    <n v="5"/>
    <s v="3.8 out of 5"/>
    <n v="3.8"/>
    <x v="1"/>
  </r>
  <r>
    <x v="10"/>
    <x v="0"/>
    <n v="799"/>
    <n v="999"/>
    <n v="200"/>
    <n v="0.2"/>
    <x v="0"/>
    <n v="12"/>
    <s v="4.1 out of 5"/>
    <n v="4.0999999999999996"/>
    <x v="1"/>
  </r>
  <r>
    <x v="11"/>
    <x v="1"/>
    <n v="990"/>
    <n v="1500"/>
    <n v="510"/>
    <n v="0.34"/>
    <x v="0"/>
    <n v="39"/>
    <s v="4.7 out of 5"/>
    <n v="4.7"/>
    <x v="0"/>
  </r>
  <r>
    <x v="12"/>
    <x v="1"/>
    <n v="552"/>
    <n v="1035"/>
    <n v="483"/>
    <n v="0.47"/>
    <x v="1"/>
    <n v="12"/>
    <s v="4.8 out of 5"/>
    <n v="4.8"/>
    <x v="0"/>
  </r>
  <r>
    <x v="13"/>
    <x v="3"/>
    <n v="501"/>
    <n v="860"/>
    <n v="359"/>
    <n v="0.42"/>
    <x v="1"/>
    <n v="6"/>
    <s v="4.5 out of 5"/>
    <n v="4.5"/>
    <x v="0"/>
  </r>
  <r>
    <x v="14"/>
    <x v="3"/>
    <n v="1680"/>
    <n v="2499"/>
    <n v="819"/>
    <n v="0.33"/>
    <x v="0"/>
    <n v="9"/>
    <s v="4.2 out of 5"/>
    <n v="4.2"/>
    <x v="1"/>
  </r>
  <r>
    <x v="15"/>
    <x v="3"/>
    <n v="332"/>
    <n v="684"/>
    <n v="352"/>
    <n v="0.51"/>
    <x v="1"/>
    <n v="2"/>
    <s v="5 out of 5"/>
    <n v="5"/>
    <x v="0"/>
  </r>
  <r>
    <x v="16"/>
    <x v="3"/>
    <n v="195"/>
    <n v="360"/>
    <n v="165"/>
    <n v="0.46"/>
    <x v="1"/>
    <n v="2"/>
    <s v="5 out of 5"/>
    <n v="5"/>
    <x v="0"/>
  </r>
  <r>
    <x v="17"/>
    <x v="3"/>
    <n v="2025"/>
    <n v="3971"/>
    <n v="1946"/>
    <n v="0.49"/>
    <x v="1"/>
    <n v="3"/>
    <s v="5 out of 5"/>
    <n v="5"/>
    <x v="0"/>
  </r>
  <r>
    <x v="18"/>
    <x v="3"/>
    <n v="2999"/>
    <n v="3699"/>
    <n v="700"/>
    <n v="0.19"/>
    <x v="2"/>
    <n v="5"/>
    <s v="4.6 out of 5"/>
    <n v="4.5999999999999996"/>
    <x v="0"/>
  </r>
  <r>
    <x v="19"/>
    <x v="1"/>
    <n v="998"/>
    <n v="1966"/>
    <n v="968"/>
    <n v="0.49"/>
    <x v="1"/>
    <n v="44"/>
    <s v="4.6 out of 5"/>
    <n v="4.5999999999999996"/>
    <x v="0"/>
  </r>
  <r>
    <x v="20"/>
    <x v="0"/>
    <n v="38"/>
    <n v="80"/>
    <n v="42"/>
    <n v="0.53"/>
    <x v="1"/>
    <n v="13"/>
    <s v="3.3 out of 5"/>
    <n v="3.3"/>
    <x v="1"/>
  </r>
  <r>
    <x v="21"/>
    <x v="1"/>
    <n v="1860"/>
    <n v="3220"/>
    <n v="1360"/>
    <n v="0.42"/>
    <x v="1"/>
    <n v="0"/>
    <s v="0 out of 5"/>
    <n v="0"/>
    <x v="2"/>
  </r>
  <r>
    <x v="22"/>
    <x v="3"/>
    <n v="880"/>
    <n v="1350"/>
    <n v="470"/>
    <n v="0.35"/>
    <x v="0"/>
    <n v="6"/>
    <s v="4 out of 5"/>
    <n v="4"/>
    <x v="1"/>
  </r>
  <r>
    <x v="23"/>
    <x v="3"/>
    <n v="1650"/>
    <n v="2150"/>
    <n v="500"/>
    <n v="0.23"/>
    <x v="0"/>
    <n v="14"/>
    <s v="4.4 out of 5"/>
    <n v="4.4000000000000004"/>
    <x v="1"/>
  </r>
  <r>
    <x v="24"/>
    <x v="4"/>
    <n v="2048"/>
    <n v="4500"/>
    <n v="2452"/>
    <n v="0.54"/>
    <x v="1"/>
    <n v="7"/>
    <s v="4.3 out of 5"/>
    <n v="4.3"/>
    <x v="1"/>
  </r>
  <r>
    <x v="25"/>
    <x v="0"/>
    <n v="420"/>
    <n v="647"/>
    <n v="227"/>
    <n v="0.35"/>
    <x v="0"/>
    <n v="49"/>
    <s v="4.6 out of 5"/>
    <n v="4.5999999999999996"/>
    <x v="0"/>
  </r>
  <r>
    <x v="26"/>
    <x v="4"/>
    <n v="2880"/>
    <n v="3520"/>
    <n v="640"/>
    <n v="0.18"/>
    <x v="2"/>
    <n v="12"/>
    <s v="3.8 out of 5"/>
    <n v="3.8"/>
    <x v="1"/>
  </r>
  <r>
    <x v="27"/>
    <x v="3"/>
    <n v="1350"/>
    <n v="1990"/>
    <n v="640"/>
    <n v="0.32"/>
    <x v="0"/>
    <n v="13"/>
    <s v="3.8 out of 5"/>
    <n v="3.8"/>
    <x v="1"/>
  </r>
  <r>
    <x v="28"/>
    <x v="0"/>
    <n v="1758"/>
    <n v="2499"/>
    <n v="741"/>
    <n v="0.3"/>
    <x v="0"/>
    <n v="20"/>
    <s v="4.1 out of 5"/>
    <n v="4.0999999999999996"/>
    <x v="1"/>
  </r>
  <r>
    <x v="29"/>
    <x v="4"/>
    <n v="2200"/>
    <n v="4080"/>
    <n v="1880"/>
    <n v="0.46"/>
    <x v="1"/>
    <n v="0"/>
    <s v="0 out of 5"/>
    <n v="0"/>
    <x v="2"/>
  </r>
  <r>
    <x v="30"/>
    <x v="3"/>
    <n v="185"/>
    <n v="382"/>
    <n v="197"/>
    <n v="0.52"/>
    <x v="1"/>
    <n v="9"/>
    <s v="4.3 out of 5"/>
    <n v="4.3"/>
    <x v="1"/>
  </r>
  <r>
    <x v="31"/>
    <x v="3"/>
    <n v="980"/>
    <n v="1490"/>
    <n v="510"/>
    <n v="0.34"/>
    <x v="0"/>
    <n v="12"/>
    <s v="4.7 out of 5"/>
    <n v="4.7"/>
    <x v="0"/>
  </r>
  <r>
    <x v="32"/>
    <x v="2"/>
    <n v="1820"/>
    <n v="3490"/>
    <n v="1670"/>
    <n v="0.48"/>
    <x v="1"/>
    <n v="9"/>
    <s v="4.3 out of 5"/>
    <n v="4.3"/>
    <x v="1"/>
  </r>
  <r>
    <x v="33"/>
    <x v="1"/>
    <n v="1940"/>
    <n v="2650"/>
    <n v="710"/>
    <n v="0.27"/>
    <x v="0"/>
    <n v="20"/>
    <s v="4.7 out of 5"/>
    <n v="4.7"/>
    <x v="0"/>
  </r>
  <r>
    <x v="34"/>
    <x v="1"/>
    <n v="1980"/>
    <n v="2699"/>
    <n v="719"/>
    <n v="0.27"/>
    <x v="0"/>
    <n v="32"/>
    <s v="4.5 out of 5"/>
    <n v="4.5"/>
    <x v="0"/>
  </r>
  <r>
    <x v="35"/>
    <x v="4"/>
    <n v="1620"/>
    <n v="2690"/>
    <n v="1070"/>
    <n v="0.4"/>
    <x v="0"/>
    <n v="1"/>
    <s v="5 out of 5"/>
    <n v="5"/>
    <x v="0"/>
  </r>
  <r>
    <x v="36"/>
    <x v="3"/>
    <n v="171"/>
    <n v="360"/>
    <n v="189"/>
    <n v="0.53"/>
    <x v="1"/>
    <n v="2"/>
    <s v="5 out of 5"/>
    <n v="5"/>
    <x v="0"/>
  </r>
  <r>
    <x v="37"/>
    <x v="4"/>
    <n v="389"/>
    <n v="656"/>
    <n v="267"/>
    <n v="0.41"/>
    <x v="1"/>
    <n v="36"/>
    <s v="4.3 out of 5"/>
    <n v="4.3"/>
    <x v="1"/>
  </r>
  <r>
    <x v="38"/>
    <x v="3"/>
    <s v=" 1,620 -  1,980"/>
    <s v=" 2,200 -  3,200"/>
    <e v="#VALUE!"/>
    <n v="0.38"/>
    <x v="0"/>
    <n v="2"/>
    <s v="4.5 out of 5"/>
    <n v="4.5"/>
    <x v="0"/>
  </r>
  <r>
    <x v="39"/>
    <x v="3"/>
    <n v="2750"/>
    <n v="4471"/>
    <n v="1721"/>
    <n v="0.38"/>
    <x v="0"/>
    <n v="0"/>
    <s v="0 out of 5"/>
    <n v="0"/>
    <x v="2"/>
  </r>
  <r>
    <x v="40"/>
    <x v="3"/>
    <n v="475"/>
    <n v="931"/>
    <n v="456"/>
    <n v="0.49"/>
    <x v="1"/>
    <n v="0"/>
    <s v="0 out of 5"/>
    <n v="0"/>
    <x v="2"/>
  </r>
  <r>
    <x v="41"/>
    <x v="3"/>
    <n v="238"/>
    <n v="476"/>
    <n v="238"/>
    <n v="0.5"/>
    <x v="1"/>
    <n v="0"/>
    <s v="0 out of 5"/>
    <n v="0"/>
    <x v="2"/>
  </r>
  <r>
    <x v="42"/>
    <x v="0"/>
    <n v="610"/>
    <n v="1060"/>
    <n v="450"/>
    <n v="0.42"/>
    <x v="1"/>
    <n v="0"/>
    <s v="0 out of 5"/>
    <n v="0"/>
    <x v="2"/>
  </r>
  <r>
    <x v="43"/>
    <x v="3"/>
    <n v="2132"/>
    <n v="2169"/>
    <n v="37"/>
    <n v="0.02"/>
    <x v="2"/>
    <n v="0"/>
    <s v="0 out of 5"/>
    <n v="0"/>
    <x v="2"/>
  </r>
  <r>
    <x v="44"/>
    <x v="3"/>
    <n v="999"/>
    <n v="2000"/>
    <n v="1001"/>
    <n v="0.5"/>
    <x v="1"/>
    <n v="0"/>
    <s v="0 out of 5"/>
    <n v="0"/>
    <x v="2"/>
  </r>
  <r>
    <x v="45"/>
    <x v="3"/>
    <n v="1190"/>
    <n v="1785"/>
    <n v="595"/>
    <n v="0.33"/>
    <x v="0"/>
    <n v="0"/>
    <s v="0 out of 5"/>
    <n v="0"/>
    <x v="2"/>
  </r>
  <r>
    <x v="46"/>
    <x v="3"/>
    <n v="671"/>
    <n v="1316"/>
    <n v="645"/>
    <n v="0.49"/>
    <x v="1"/>
    <n v="0"/>
    <s v="0 out of 5"/>
    <n v="0"/>
    <x v="2"/>
  </r>
  <r>
    <x v="47"/>
    <x v="3"/>
    <n v="1200"/>
    <n v="1950"/>
    <n v="750"/>
    <n v="0.38"/>
    <x v="0"/>
    <n v="0"/>
    <s v="0 out of 5"/>
    <n v="0"/>
    <x v="2"/>
  </r>
  <r>
    <x v="48"/>
    <x v="3"/>
    <n v="199"/>
    <n v="504"/>
    <n v="305"/>
    <n v="0.61"/>
    <x v="1"/>
    <n v="0"/>
    <s v="0 out of 5"/>
    <n v="0"/>
    <x v="2"/>
  </r>
  <r>
    <x v="49"/>
    <x v="0"/>
    <n v="299"/>
    <n v="600"/>
    <n v="301"/>
    <n v="0.5"/>
    <x v="1"/>
    <n v="0"/>
    <s v="0 out of 5"/>
    <n v="0"/>
    <x v="2"/>
  </r>
  <r>
    <x v="50"/>
    <x v="0"/>
    <n v="1660"/>
    <n v="1699"/>
    <n v="39"/>
    <n v="0.02"/>
    <x v="2"/>
    <n v="0"/>
    <s v="0 out of 5"/>
    <n v="0"/>
    <x v="2"/>
  </r>
  <r>
    <x v="51"/>
    <x v="4"/>
    <n v="299"/>
    <n v="384"/>
    <n v="85"/>
    <n v="0.22"/>
    <x v="0"/>
    <n v="0"/>
    <s v="0 out of 5"/>
    <n v="0"/>
    <x v="2"/>
  </r>
  <r>
    <x v="52"/>
    <x v="3"/>
    <n v="1459"/>
    <n v="1499"/>
    <n v="40"/>
    <n v="0.03"/>
    <x v="2"/>
    <n v="0"/>
    <s v="0 out of 5"/>
    <n v="0"/>
    <x v="2"/>
  </r>
  <r>
    <x v="53"/>
    <x v="3"/>
    <n v="799"/>
    <n v="1343"/>
    <n v="544"/>
    <n v="0.41"/>
    <x v="1"/>
    <n v="0"/>
    <s v="0 out of 5"/>
    <n v="0"/>
    <x v="2"/>
  </r>
  <r>
    <x v="54"/>
    <x v="3"/>
    <n v="499"/>
    <n v="900"/>
    <n v="401"/>
    <n v="0.45"/>
    <x v="1"/>
    <n v="0"/>
    <s v="0 out of 5"/>
    <n v="0"/>
    <x v="2"/>
  </r>
  <r>
    <x v="55"/>
    <x v="3"/>
    <n v="699"/>
    <n v="1343"/>
    <n v="644"/>
    <n v="0.48"/>
    <x v="1"/>
    <n v="0"/>
    <s v="0 out of 5"/>
    <n v="0"/>
    <x v="2"/>
  </r>
  <r>
    <x v="56"/>
    <x v="0"/>
    <n v="799"/>
    <n v="1567"/>
    <n v="768"/>
    <n v="0.49"/>
    <x v="1"/>
    <n v="0"/>
    <s v="0 out of 5"/>
    <n v="0"/>
    <x v="2"/>
  </r>
  <r>
    <x v="57"/>
    <x v="0"/>
    <n v="2799"/>
    <n v="3810"/>
    <n v="1011"/>
    <n v="0.27"/>
    <x v="0"/>
    <n v="0"/>
    <s v="0 out of 5"/>
    <n v="0"/>
    <x v="2"/>
  </r>
  <r>
    <x v="54"/>
    <x v="3"/>
    <n v="399"/>
    <n v="896"/>
    <n v="497"/>
    <n v="0.55000000000000004"/>
    <x v="1"/>
    <n v="0"/>
    <s v="0 out of 5"/>
    <n v="0"/>
    <x v="2"/>
  </r>
  <r>
    <x v="58"/>
    <x v="0"/>
    <n v="2170"/>
    <n v="2500"/>
    <n v="330"/>
    <n v="0.13"/>
    <x v="2"/>
    <n v="6"/>
    <s v="2.5 out of 5"/>
    <n v="2.5"/>
    <x v="2"/>
  </r>
  <r>
    <x v="59"/>
    <x v="3"/>
    <n v="458"/>
    <n v="986"/>
    <n v="528"/>
    <n v="0.54"/>
    <x v="1"/>
    <n v="10"/>
    <s v="3 out of 5"/>
    <n v="3"/>
    <x v="1"/>
  </r>
  <r>
    <x v="60"/>
    <x v="0"/>
    <n v="2115"/>
    <n v="4700"/>
    <n v="2585"/>
    <n v="0.55000000000000004"/>
    <x v="1"/>
    <n v="13"/>
    <s v="2.1 out of 5"/>
    <n v="2.1"/>
    <x v="2"/>
  </r>
  <r>
    <x v="61"/>
    <x v="2"/>
    <n v="445"/>
    <n v="873"/>
    <n v="428"/>
    <n v="0.49"/>
    <x v="1"/>
    <n v="69"/>
    <s v="2.8 out of 5"/>
    <n v="2.8"/>
    <x v="2"/>
  </r>
  <r>
    <x v="62"/>
    <x v="3"/>
    <n v="325"/>
    <n v="680"/>
    <n v="355"/>
    <n v="0.52"/>
    <x v="1"/>
    <n v="15"/>
    <s v="2.7 out of 5"/>
    <n v="2.7"/>
    <x v="2"/>
  </r>
  <r>
    <x v="63"/>
    <x v="2"/>
    <n v="1220"/>
    <n v="1555"/>
    <n v="335"/>
    <n v="0.22"/>
    <x v="0"/>
    <n v="16"/>
    <s v="2.9 out of 5"/>
    <n v="2.9"/>
    <x v="2"/>
  </r>
  <r>
    <x v="64"/>
    <x v="1"/>
    <n v="990"/>
    <n v="1814"/>
    <n v="824"/>
    <n v="0.45"/>
    <x v="1"/>
    <n v="6"/>
    <s v="2.2 out of 5"/>
    <n v="2.2000000000000002"/>
    <x v="2"/>
  </r>
  <r>
    <x v="65"/>
    <x v="3"/>
    <n v="1000"/>
    <n v="2000"/>
    <n v="1000"/>
    <n v="0.5"/>
    <x v="1"/>
    <n v="7"/>
    <s v="2.3 out of 5"/>
    <n v="2.2999999999999998"/>
    <x v="2"/>
  </r>
  <r>
    <x v="66"/>
    <x v="0"/>
    <n v="3750"/>
    <n v="6143"/>
    <n v="2393"/>
    <n v="0.39"/>
    <x v="0"/>
    <n v="5"/>
    <s v="3 out of 5"/>
    <n v="3"/>
    <x v="1"/>
  </r>
  <r>
    <x v="67"/>
    <x v="4"/>
    <n v="382"/>
    <n v="700"/>
    <n v="318"/>
    <n v="0.45"/>
    <x v="1"/>
    <n v="17"/>
    <s v="2.6 out of 5"/>
    <n v="2.6"/>
    <x v="2"/>
  </r>
  <r>
    <x v="68"/>
    <x v="4"/>
    <n v="2300"/>
    <n v="3240"/>
    <n v="940"/>
    <n v="0.28999999999999998"/>
    <x v="0"/>
    <n v="5"/>
    <s v="3 out of 5"/>
    <n v="3"/>
    <x v="1"/>
  </r>
  <r>
    <x v="69"/>
    <x v="3"/>
    <n v="345"/>
    <n v="602"/>
    <n v="257"/>
    <n v="0.43"/>
    <x v="1"/>
    <n v="6"/>
    <s v="2.3 out of 5"/>
    <n v="2.2999999999999998"/>
    <x v="2"/>
  </r>
  <r>
    <x v="70"/>
    <x v="3"/>
    <n v="509"/>
    <n v="899"/>
    <n v="390"/>
    <n v="0.43"/>
    <x v="1"/>
    <n v="5"/>
    <s v="3 out of 5"/>
    <n v="3"/>
    <x v="1"/>
  </r>
  <r>
    <x v="71"/>
    <x v="0"/>
    <n v="968"/>
    <n v="1814"/>
    <n v="846"/>
    <n v="0.47"/>
    <x v="1"/>
    <n v="6"/>
    <s v="2.2 out of 5"/>
    <n v="2.2000000000000002"/>
    <x v="2"/>
  </r>
  <r>
    <x v="72"/>
    <x v="2"/>
    <n v="1570"/>
    <n v="2988"/>
    <n v="1418"/>
    <n v="0.47"/>
    <x v="1"/>
    <n v="7"/>
    <s v="2.1 out of 5"/>
    <n v="2.1"/>
    <x v="2"/>
  </r>
  <r>
    <x v="73"/>
    <x v="2"/>
    <n v="790"/>
    <n v="1485"/>
    <n v="695"/>
    <n v="0.47"/>
    <x v="1"/>
    <n v="0"/>
    <s v="0 out of 5"/>
    <n v="0"/>
    <x v="2"/>
  </r>
  <r>
    <x v="74"/>
    <x v="3"/>
    <n v="690"/>
    <n v="1200"/>
    <n v="510"/>
    <n v="0.43"/>
    <x v="1"/>
    <n v="0"/>
    <s v="0 out of 5"/>
    <n v="0"/>
    <x v="2"/>
  </r>
  <r>
    <x v="75"/>
    <x v="3"/>
    <n v="1732"/>
    <n v="1799"/>
    <n v="67"/>
    <n v="0.04"/>
    <x v="2"/>
    <n v="0"/>
    <s v="0 out of 5"/>
    <n v="0"/>
    <x v="2"/>
  </r>
  <r>
    <x v="76"/>
    <x v="0"/>
    <n v="230"/>
    <n v="450"/>
    <n v="220"/>
    <n v="0.49"/>
    <x v="1"/>
    <n v="0"/>
    <s v="0 out of 5"/>
    <n v="0"/>
    <x v="2"/>
  </r>
  <r>
    <x v="77"/>
    <x v="3"/>
    <n v="1189"/>
    <n v="2199"/>
    <n v="1010"/>
    <n v="0.46"/>
    <x v="1"/>
    <n v="1"/>
    <s v="3 out of 5"/>
    <n v="3"/>
    <x v="1"/>
  </r>
  <r>
    <x v="78"/>
    <x v="3"/>
    <n v="979"/>
    <n v="1920"/>
    <n v="941"/>
    <n v="0.49"/>
    <x v="1"/>
    <n v="1"/>
    <s v="5 out of 5"/>
    <n v="5"/>
    <x v="0"/>
  </r>
  <r>
    <x v="79"/>
    <x v="3"/>
    <n v="1460"/>
    <n v="2290"/>
    <n v="830"/>
    <n v="0.36"/>
    <x v="0"/>
    <n v="0"/>
    <s v="0 out of 5"/>
    <n v="0"/>
    <x v="2"/>
  </r>
  <r>
    <x v="80"/>
    <x v="3"/>
    <n v="1666"/>
    <n v="1699"/>
    <n v="33"/>
    <n v="0.02"/>
    <x v="2"/>
    <n v="0"/>
    <s v="0 out of 5"/>
    <n v="0"/>
    <x v="2"/>
  </r>
  <r>
    <x v="81"/>
    <x v="3"/>
    <n v="330"/>
    <n v="647"/>
    <n v="317"/>
    <n v="0.49"/>
    <x v="1"/>
    <n v="1"/>
    <s v="4 out of 5"/>
    <n v="4"/>
    <x v="1"/>
  </r>
  <r>
    <x v="48"/>
    <x v="3"/>
    <n v="176"/>
    <n v="345"/>
    <n v="169"/>
    <n v="0.49"/>
    <x v="1"/>
    <n v="0"/>
    <s v="0 out of 5"/>
    <n v="0"/>
    <x v="2"/>
  </r>
  <r>
    <x v="82"/>
    <x v="3"/>
    <n v="1466"/>
    <n v="1699"/>
    <n v="233"/>
    <n v="0.14000000000000001"/>
    <x v="2"/>
    <n v="0"/>
    <s v="0 out of 5"/>
    <n v="0"/>
    <x v="2"/>
  </r>
  <r>
    <x v="83"/>
    <x v="3"/>
    <n v="274"/>
    <n v="537"/>
    <n v="263"/>
    <n v="0.49"/>
    <x v="1"/>
    <n v="0"/>
    <s v="0 out of 5"/>
    <n v="0"/>
    <x v="2"/>
  </r>
  <r>
    <x v="84"/>
    <x v="3"/>
    <n v="799"/>
    <n v="900"/>
    <n v="101"/>
    <n v="0.11"/>
    <x v="2"/>
    <n v="0"/>
    <s v="0 out of 5"/>
    <n v="0"/>
    <x v="2"/>
  </r>
  <r>
    <x v="56"/>
    <x v="0"/>
    <n v="657"/>
    <n v="1288"/>
    <n v="631"/>
    <n v="0.49"/>
    <x v="1"/>
    <n v="0"/>
    <s v="0 out of 5"/>
    <n v="0"/>
    <x v="2"/>
  </r>
  <r>
    <x v="85"/>
    <x v="4"/>
    <n v="1468"/>
    <n v="1699"/>
    <n v="231"/>
    <n v="0.14000000000000001"/>
    <x v="2"/>
    <n v="0"/>
    <s v="0 out of 5"/>
    <n v="0"/>
    <x v="2"/>
  </r>
  <r>
    <x v="86"/>
    <x v="4"/>
    <n v="630"/>
    <n v="1100"/>
    <n v="470"/>
    <n v="0.43"/>
    <x v="1"/>
    <n v="0"/>
    <s v="0 out of 5"/>
    <n v="0"/>
    <x v="2"/>
  </r>
  <r>
    <x v="87"/>
    <x v="3"/>
    <n v="850"/>
    <n v="1700"/>
    <n v="850"/>
    <n v="0.5"/>
    <x v="1"/>
    <n v="0"/>
    <s v="0 out of 5"/>
    <n v="0"/>
    <x v="2"/>
  </r>
  <r>
    <x v="88"/>
    <x v="3"/>
    <n v="1300"/>
    <n v="2500"/>
    <n v="1200"/>
    <n v="0.48"/>
    <x v="1"/>
    <n v="0"/>
    <s v="0 out of 5"/>
    <n v="0"/>
    <x v="2"/>
  </r>
  <r>
    <x v="89"/>
    <x v="0"/>
    <n v="105"/>
    <n v="200"/>
    <n v="95"/>
    <n v="0.48"/>
    <x v="1"/>
    <n v="0"/>
    <s v="0 out of 5"/>
    <n v="0"/>
    <x v="2"/>
  </r>
  <r>
    <x v="90"/>
    <x v="4"/>
    <n v="899"/>
    <n v="1699"/>
    <n v="800"/>
    <n v="0.47"/>
    <x v="1"/>
    <n v="0"/>
    <s v="0 out of 5"/>
    <n v="0"/>
    <x v="2"/>
  </r>
  <r>
    <x v="91"/>
    <x v="3"/>
    <n v="1200"/>
    <n v="2400"/>
    <n v="1200"/>
    <n v="0.5"/>
    <x v="1"/>
    <n v="0"/>
    <s v="0 out of 5"/>
    <n v="0"/>
    <x v="2"/>
  </r>
  <r>
    <x v="92"/>
    <x v="4"/>
    <n v="1526"/>
    <n v="1660"/>
    <n v="134"/>
    <n v="0.08"/>
    <x v="2"/>
    <n v="0"/>
    <s v="0 out of 5"/>
    <n v="0"/>
    <x v="2"/>
  </r>
  <r>
    <x v="93"/>
    <x v="0"/>
    <n v="1462"/>
    <n v="1499"/>
    <n v="37"/>
    <n v="0.02"/>
    <x v="2"/>
    <n v="0"/>
    <s v="0 out of 5"/>
    <n v="0"/>
    <x v="2"/>
  </r>
  <r>
    <x v="94"/>
    <x v="0"/>
    <n v="248"/>
    <n v="486"/>
    <n v="238"/>
    <n v="0.49"/>
    <x v="1"/>
    <n v="0"/>
    <s v="0 out of 5"/>
    <n v="0"/>
    <x v="2"/>
  </r>
  <r>
    <x v="95"/>
    <x v="3"/>
    <n v="3546"/>
    <n v="3699"/>
    <n v="153"/>
    <n v="0.04"/>
    <x v="2"/>
    <n v="0"/>
    <s v="0 out of 5"/>
    <n v="0"/>
    <x v="2"/>
  </r>
  <r>
    <x v="96"/>
    <x v="3"/>
    <n v="525"/>
    <n v="1029"/>
    <n v="504"/>
    <n v="0.49"/>
    <x v="1"/>
    <n v="0"/>
    <s v="0 out of 5"/>
    <n v="0"/>
    <x v="2"/>
  </r>
  <r>
    <x v="97"/>
    <x v="3"/>
    <n v="1080"/>
    <n v="1874"/>
    <n v="794"/>
    <n v="0.42"/>
    <x v="1"/>
    <n v="0"/>
    <s v="0 out of 5"/>
    <n v="0"/>
    <x v="2"/>
  </r>
  <r>
    <x v="98"/>
    <x v="3"/>
    <n v="3640"/>
    <n v="4588"/>
    <n v="948"/>
    <n v="0.21"/>
    <x v="0"/>
    <n v="1"/>
    <s v="5 out of 5"/>
    <n v="5"/>
    <x v="0"/>
  </r>
  <r>
    <x v="99"/>
    <x v="3"/>
    <n v="1420"/>
    <n v="2420"/>
    <n v="1000"/>
    <n v="0.41"/>
    <x v="1"/>
    <n v="0"/>
    <s v="0 out of 5"/>
    <n v="0"/>
    <x v="2"/>
  </r>
  <r>
    <x v="100"/>
    <x v="0"/>
    <n v="1875"/>
    <n v="1899"/>
    <n v="24"/>
    <n v="0.01"/>
    <x v="2"/>
    <n v="0"/>
    <s v="0 out of 5"/>
    <n v="0"/>
    <x v="2"/>
  </r>
  <r>
    <x v="101"/>
    <x v="4"/>
    <n v="198"/>
    <n v="260"/>
    <n v="62"/>
    <n v="0.24"/>
    <x v="0"/>
    <n v="0"/>
    <s v="0 out of 5"/>
    <n v="0"/>
    <x v="2"/>
  </r>
  <r>
    <x v="102"/>
    <x v="3"/>
    <n v="1150"/>
    <n v="1737"/>
    <n v="587"/>
    <n v="0.34"/>
    <x v="0"/>
    <n v="0"/>
    <s v="0 out of 5"/>
    <n v="0"/>
    <x v="2"/>
  </r>
  <r>
    <x v="103"/>
    <x v="3"/>
    <n v="1190"/>
    <n v="1810"/>
    <n v="620"/>
    <n v="0.34"/>
    <x v="0"/>
    <n v="0"/>
    <s v="0 out of 5"/>
    <n v="0"/>
    <x v="2"/>
  </r>
  <r>
    <x v="104"/>
    <x v="3"/>
    <n v="1658"/>
    <n v="1699"/>
    <n v="41"/>
    <n v="0.02"/>
    <x v="2"/>
    <n v="0"/>
    <s v="0 out of 5"/>
    <n v="0"/>
    <x v="2"/>
  </r>
  <r>
    <x v="105"/>
    <x v="3"/>
    <n v="1768"/>
    <n v="1799"/>
    <n v="31"/>
    <n v="0.02"/>
    <x v="2"/>
    <n v="0"/>
    <s v="0 out of 5"/>
    <n v="0"/>
    <x v="2"/>
  </r>
  <r>
    <x v="106"/>
    <x v="3"/>
    <n v="199"/>
    <n v="553"/>
    <n v="354"/>
    <n v="0.64"/>
    <x v="1"/>
    <n v="0"/>
    <s v="0 out of 5"/>
    <n v="0"/>
    <x v="2"/>
  </r>
  <r>
    <x v="107"/>
    <x v="1"/>
    <n v="450"/>
    <n v="900"/>
    <n v="450"/>
    <n v="0.5"/>
    <x v="1"/>
    <n v="1"/>
    <s v="2 out of 5"/>
    <n v="2"/>
    <x v="2"/>
  </r>
  <r>
    <x v="108"/>
    <x v="3"/>
    <n v="169"/>
    <n v="320"/>
    <n v="151"/>
    <n v="0.47"/>
    <x v="1"/>
    <n v="0"/>
    <s v="0 out of 5"/>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AFD700-C0E1-4FC6-89C1-276B94F5078C}"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9" firstHeaderRow="0" firstDataRow="1" firstDataCol="1"/>
  <pivotFields count="11">
    <pivotField showAll="0"/>
    <pivotField axis="axisRow" showAll="0">
      <items count="6">
        <item x="4"/>
        <item x="2"/>
        <item x="1"/>
        <item x="3"/>
        <item x="0"/>
        <item t="default"/>
      </items>
    </pivotField>
    <pivotField showAll="0"/>
    <pivotField showAll="0"/>
    <pivotField showAll="0"/>
    <pivotField dataField="1" numFmtId="2" showAll="0"/>
    <pivotField showAll="0">
      <items count="4">
        <item x="1"/>
        <item x="2"/>
        <item x="0"/>
        <item t="default"/>
      </items>
    </pivotField>
    <pivotField numFmtId="1" showAll="0"/>
    <pivotField showAll="0"/>
    <pivotField dataField="1" numFmtId="164" showAll="0"/>
    <pivotField showAll="0">
      <items count="4">
        <item x="1"/>
        <item x="0"/>
        <item x="2"/>
        <item t="default"/>
      </items>
    </pivotField>
  </pivotFields>
  <rowFields count="1">
    <field x="1"/>
  </rowFields>
  <rowItems count="6">
    <i>
      <x/>
    </i>
    <i>
      <x v="1"/>
    </i>
    <i>
      <x v="2"/>
    </i>
    <i>
      <x v="3"/>
    </i>
    <i>
      <x v="4"/>
    </i>
    <i t="grand">
      <x/>
    </i>
  </rowItems>
  <colFields count="1">
    <field x="-2"/>
  </colFields>
  <colItems count="2">
    <i>
      <x/>
    </i>
    <i i="1">
      <x v="1"/>
    </i>
  </colItems>
  <dataFields count="2">
    <dataField name="Average of Discount(%)" fld="5" subtotal="average" baseField="1" baseItem="0" numFmtId="2"/>
    <dataField name="Average of Ratings" fld="9" subtotal="average" baseField="1"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F12490-393D-47C3-BEF8-3F8F60517075}"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5" firstHeaderRow="1" firstDataRow="1" firstDataCol="1"/>
  <pivotFields count="11">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items count="6">
        <item x="4"/>
        <item x="2"/>
        <item x="1"/>
        <item x="3"/>
        <item x="0"/>
        <item t="default"/>
      </items>
    </pivotField>
    <pivotField showAll="0"/>
    <pivotField showAll="0"/>
    <pivotField showAll="0"/>
    <pivotField dataField="1" numFmtId="2" showAll="0"/>
    <pivotField showAll="0">
      <items count="4">
        <item x="1"/>
        <item x="2"/>
        <item x="0"/>
        <item t="default"/>
      </items>
    </pivotField>
    <pivotField numFmtId="1" showAll="0"/>
    <pivotField showAll="0"/>
    <pivotField numFmtId="164" showAll="0"/>
    <pivotField showAll="0">
      <items count="4">
        <item x="1"/>
        <item x="0"/>
        <item x="2"/>
        <item t="default"/>
      </items>
    </pivotField>
  </pivotFields>
  <rowFields count="1">
    <field x="0"/>
  </rowFields>
  <rowItems count="12">
    <i>
      <x v="20"/>
    </i>
    <i>
      <x v="30"/>
    </i>
    <i>
      <x v="31"/>
    </i>
    <i>
      <x v="52"/>
    </i>
    <i>
      <x v="53"/>
    </i>
    <i>
      <x v="60"/>
    </i>
    <i>
      <x v="64"/>
    </i>
    <i>
      <x v="67"/>
    </i>
    <i>
      <x v="70"/>
    </i>
    <i>
      <x v="84"/>
    </i>
    <i>
      <x v="99"/>
    </i>
    <i t="grand">
      <x/>
    </i>
  </rowItems>
  <colItems count="1">
    <i/>
  </colItems>
  <dataFields count="1">
    <dataField name="Max of Discount(%)" fld="5" subtotal="max" baseField="0" baseItem="15" numFmtId="2"/>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428752-CE25-4284-ACD0-7F631EF9D136}"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pivotFields count="11">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items count="6">
        <item x="4"/>
        <item x="2"/>
        <item x="1"/>
        <item x="3"/>
        <item x="0"/>
        <item t="default"/>
      </items>
    </pivotField>
    <pivotField showAll="0"/>
    <pivotField showAll="0"/>
    <pivotField showAll="0"/>
    <pivotField numFmtId="2" showAll="0"/>
    <pivotField showAll="0">
      <items count="4">
        <item x="1"/>
        <item x="2"/>
        <item x="0"/>
        <item t="default"/>
      </items>
    </pivotField>
    <pivotField dataField="1" numFmtId="1" showAll="0"/>
    <pivotField showAll="0"/>
    <pivotField numFmtId="164" showAll="0"/>
    <pivotField showAll="0">
      <items count="4">
        <item x="1"/>
        <item x="0"/>
        <item x="2"/>
        <item t="default"/>
      </items>
    </pivotField>
  </pivotFields>
  <rowFields count="1">
    <field x="0"/>
  </rowFields>
  <rowItems count="11">
    <i>
      <x v="1"/>
    </i>
    <i>
      <x v="5"/>
    </i>
    <i>
      <x v="8"/>
    </i>
    <i>
      <x v="18"/>
    </i>
    <i>
      <x v="26"/>
    </i>
    <i>
      <x v="27"/>
    </i>
    <i>
      <x v="28"/>
    </i>
    <i>
      <x v="59"/>
    </i>
    <i>
      <x v="91"/>
    </i>
    <i>
      <x v="95"/>
    </i>
    <i t="grand">
      <x/>
    </i>
  </rowItems>
  <colItems count="1">
    <i/>
  </colItems>
  <dataFields count="1">
    <dataField name="Sum of Review" fld="7" baseField="0" baseItem="0" numFmtId="1"/>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67DCBE-B0BA-4170-B013-309A3633C0BA}"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C7" firstHeaderRow="0" firstDataRow="1" firstDataCol="1"/>
  <pivotFields count="11">
    <pivotField showAll="0"/>
    <pivotField showAll="0">
      <items count="6">
        <item x="4"/>
        <item x="2"/>
        <item x="1"/>
        <item x="3"/>
        <item x="0"/>
        <item t="default"/>
      </items>
    </pivotField>
    <pivotField showAll="0"/>
    <pivotField showAll="0"/>
    <pivotField showAll="0"/>
    <pivotField numFmtId="2" showAll="0"/>
    <pivotField axis="axisRow" showAll="0">
      <items count="4">
        <item x="1"/>
        <item x="2"/>
        <item x="0"/>
        <item t="default"/>
      </items>
    </pivotField>
    <pivotField dataField="1" numFmtId="1" showAll="0"/>
    <pivotField showAll="0"/>
    <pivotField dataField="1" numFmtId="164" showAll="0"/>
    <pivotField showAll="0">
      <items count="4">
        <item x="1"/>
        <item x="0"/>
        <item x="2"/>
        <item t="default"/>
      </items>
    </pivotField>
  </pivotFields>
  <rowFields count="1">
    <field x="6"/>
  </rowFields>
  <rowItems count="4">
    <i>
      <x/>
    </i>
    <i>
      <x v="1"/>
    </i>
    <i>
      <x v="2"/>
    </i>
    <i t="grand">
      <x/>
    </i>
  </rowItems>
  <colFields count="1">
    <field x="-2"/>
  </colFields>
  <colItems count="2">
    <i>
      <x/>
    </i>
    <i i="1">
      <x v="1"/>
    </i>
  </colItems>
  <dataFields count="2">
    <dataField name="Average of Ratings" fld="9" subtotal="average" baseField="6" baseItem="0" numFmtId="164"/>
    <dataField name="Average of Review" fld="7" subtotal="average" baseField="6" baseItem="0" numFmtId="1"/>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6" count="1" selected="0">
            <x v="0"/>
          </reference>
        </references>
      </pivotArea>
    </chartFormat>
    <chartFormat chart="16" format="12">
      <pivotArea type="data" outline="0" fieldPosition="0">
        <references count="2">
          <reference field="4294967294" count="1" selected="0">
            <x v="0"/>
          </reference>
          <reference field="6" count="1" selected="0">
            <x v="1"/>
          </reference>
        </references>
      </pivotArea>
    </chartFormat>
    <chartFormat chart="16" format="13">
      <pivotArea type="data" outline="0" fieldPosition="0">
        <references count="2">
          <reference field="4294967294" count="1" selected="0">
            <x v="0"/>
          </reference>
          <reference field="6" count="1" selected="0">
            <x v="2"/>
          </reference>
        </references>
      </pivotArea>
    </chartFormat>
    <chartFormat chart="16" format="14" series="1">
      <pivotArea type="data" outline="0" fieldPosition="0">
        <references count="1">
          <reference field="4294967294" count="1" selected="0">
            <x v="1"/>
          </reference>
        </references>
      </pivotArea>
    </chartFormat>
    <chartFormat chart="16" format="15">
      <pivotArea type="data" outline="0" fieldPosition="0">
        <references count="2">
          <reference field="4294967294" count="1" selected="0">
            <x v="1"/>
          </reference>
          <reference field="6" count="1" selected="0">
            <x v="0"/>
          </reference>
        </references>
      </pivotArea>
    </chartFormat>
    <chartFormat chart="16" format="16">
      <pivotArea type="data" outline="0" fieldPosition="0">
        <references count="2">
          <reference field="4294967294" count="1" selected="0">
            <x v="1"/>
          </reference>
          <reference field="6" count="1" selected="0">
            <x v="1"/>
          </reference>
        </references>
      </pivotArea>
    </chartFormat>
    <chartFormat chart="16" format="17">
      <pivotArea type="data" outline="0" fieldPosition="0">
        <references count="2">
          <reference field="4294967294"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3A0173-CAEE-44E3-B777-120AE9717C07}"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1">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items count="6">
        <item x="4"/>
        <item x="2"/>
        <item x="1"/>
        <item x="3"/>
        <item x="0"/>
        <item t="default"/>
      </items>
    </pivotField>
    <pivotField showAll="0"/>
    <pivotField showAll="0"/>
    <pivotField showAll="0"/>
    <pivotField numFmtId="2" showAll="0"/>
    <pivotField showAll="0">
      <items count="4">
        <item x="1"/>
        <item x="2"/>
        <item x="0"/>
        <item t="default"/>
      </items>
    </pivotField>
    <pivotField dataField="1" numFmtId="1" showAll="0"/>
    <pivotField showAll="0"/>
    <pivotField numFmtId="164" showAll="0"/>
    <pivotField showAll="0">
      <items count="4">
        <item x="1"/>
        <item x="0"/>
        <item x="2"/>
        <item t="default"/>
      </items>
    </pivotField>
  </pivotFields>
  <rowFields count="1">
    <field x="0"/>
  </rowFields>
  <rowItems count="11">
    <i>
      <x v="1"/>
    </i>
    <i>
      <x v="5"/>
    </i>
    <i>
      <x v="8"/>
    </i>
    <i>
      <x v="18"/>
    </i>
    <i>
      <x v="26"/>
    </i>
    <i>
      <x v="27"/>
    </i>
    <i>
      <x v="28"/>
    </i>
    <i>
      <x v="59"/>
    </i>
    <i>
      <x v="91"/>
    </i>
    <i>
      <x v="95"/>
    </i>
    <i t="grand">
      <x/>
    </i>
  </rowItems>
  <colItems count="1">
    <i/>
  </colItems>
  <dataFields count="1">
    <dataField name="Average of Review" fld="7" subtotal="average" baseField="0" baseItem="1" numFmtId="1"/>
  </dataField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2BC096F-71ED-4018-9308-E67A54F02E7E}" sourceName="Product category">
  <pivotTables>
    <pivotTable tabId="13" name="PivotTable4"/>
    <pivotTable tabId="15" name="PivotTable6"/>
    <pivotTable tabId="6" name="PivotTable2"/>
    <pivotTable tabId="14" name="PivotTable5"/>
    <pivotTable tabId="19" name="PivotTable8"/>
  </pivotTables>
  <data>
    <tabular pivotCacheId="1430194626">
      <items count="5">
        <i x="4" s="1"/>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86E6C41A-4827-47E9-8065-EEBC3BB96EAB}" sourceName="Discount category">
  <pivotTables>
    <pivotTable tabId="13" name="PivotTable4"/>
    <pivotTable tabId="15" name="PivotTable6"/>
    <pivotTable tabId="6" name="PivotTable2"/>
    <pivotTable tabId="14" name="PivotTable5"/>
    <pivotTable tabId="19" name="PivotTable8"/>
  </pivotTables>
  <data>
    <tabular pivotCacheId="1430194626">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s_category" xr10:uid="{B98D9FC5-B8F0-4CBB-9A95-40990503B8D7}" sourceName="Ratings category">
  <pivotTables>
    <pivotTable tabId="13" name="PivotTable4"/>
    <pivotTable tabId="15" name="PivotTable6"/>
    <pivotTable tabId="19" name="PivotTable8"/>
    <pivotTable tabId="6" name="PivotTable2"/>
    <pivotTable tabId="14" name="PivotTable5"/>
  </pivotTables>
  <data>
    <tabular pivotCacheId="143019462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36C4958D-1524-4BD2-98BD-730ABF126074}" cache="Slicer_Product_category" caption="Product category" rowHeight="234950"/>
  <slicer name="Discount category" xr10:uid="{072095FD-B059-4EFB-966C-FA54FE5B37C3}" cache="Slicer_Discount_category" caption="Discount category" rowHeight="234950"/>
  <slicer name="Ratings category" xr10:uid="{ECBBE656-0362-4F12-8F5E-4F0DB4E468B1}" cache="Slicer_Ratings_category" caption="Ratings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22EBA88C-87F3-4824-A7EA-15BEDA78F649}" cache="Slicer_Product_category" caption="Product category" rowHeight="234950"/>
  <slicer name="Discount category 1" xr10:uid="{CB802500-A661-42F2-876A-A55725A24661}" cache="Slicer_Discount_category" caption="Discount category" rowHeight="234950"/>
  <slicer name="Ratings category 1" xr10:uid="{4D0160E9-E06B-49D4-A381-8CB75A6B018B}" cache="Slicer_Ratings_category" caption="Ratings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8B19F1-B40E-412C-BCA4-138195259B9C}" name="Table1" displayName="Table1" ref="A1:K113" totalsRowShown="0">
  <autoFilter ref="A1:K113" xr:uid="{DF8B19F1-B40E-412C-BCA4-138195259B9C}"/>
  <sortState xmlns:xlrd2="http://schemas.microsoft.com/office/spreadsheetml/2017/richdata2" ref="A2:K113">
    <sortCondition ref="J1:J113"/>
  </sortState>
  <tableColumns count="11">
    <tableColumn id="1" xr3:uid="{8257AB64-9381-4B6B-88F9-E3CB0B074D39}" name="Product Name"/>
    <tableColumn id="2" xr3:uid="{4BBFF1F5-B05D-47EB-B88D-3F2555FB7960}" name="Product category"/>
    <tableColumn id="3" xr3:uid="{31877569-E883-4CA0-A102-70F16C702651}" name="Current Price(KSh)"/>
    <tableColumn id="4" xr3:uid="{E99B51A1-15BF-4758-922C-5EE46160FD4A}" name="Old Price(kSh)"/>
    <tableColumn id="5" xr3:uid="{EFD4BFCD-2F38-481F-B954-BF5BB26F5493}" name="Absolute Discount Amt(KSh)"/>
    <tableColumn id="6" xr3:uid="{AA02AA66-D377-460C-8049-BB687FE1C57E}" name="Discount(%)"/>
    <tableColumn id="7" xr3:uid="{0C8E532F-EB52-4F13-A597-0B8A55402587}" name="Discount category"/>
    <tableColumn id="8" xr3:uid="{FBBD78E5-D716-4B33-A89C-F6D301DA1043}" name="Review"/>
    <tableColumn id="9" xr3:uid="{D5ECF1ED-FA19-4DF2-BD98-4F834B95E77A}" name="Ratingd"/>
    <tableColumn id="10" xr3:uid="{C5DA46B4-06C0-4726-B8B0-697E5D140643}" name="Ratings"/>
    <tableColumn id="11" xr3:uid="{F4718F75-A639-49DF-A264-042A1C3F6904}" name="Ratings 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4ED48-FF06-4F53-9D18-C1B5E4A74B46}">
  <dimension ref="A1:F116"/>
  <sheetViews>
    <sheetView workbookViewId="0">
      <selection activeCell="D1" sqref="D1:D1048576"/>
    </sheetView>
  </sheetViews>
  <sheetFormatPr defaultRowHeight="14.4" x14ac:dyDescent="0.3"/>
  <cols>
    <col min="1" max="1" width="87.88671875" bestFit="1" customWidth="1"/>
    <col min="2" max="3" width="18.33203125" bestFit="1" customWidth="1"/>
    <col min="4" max="4" width="8.109375" bestFit="1" customWidth="1"/>
    <col min="5" max="5" width="6.88671875" bestFit="1" customWidth="1"/>
    <col min="6" max="6" width="10.44140625" bestFit="1" customWidth="1"/>
  </cols>
  <sheetData>
    <row r="1" spans="1:6" x14ac:dyDescent="0.3">
      <c r="A1" t="s">
        <v>0</v>
      </c>
      <c r="B1" t="s">
        <v>1</v>
      </c>
      <c r="C1" t="s">
        <v>2</v>
      </c>
      <c r="D1" t="s">
        <v>3</v>
      </c>
      <c r="E1" t="s">
        <v>4</v>
      </c>
      <c r="F1" t="s">
        <v>5</v>
      </c>
    </row>
    <row r="2" spans="1:6" x14ac:dyDescent="0.3">
      <c r="A2" t="s">
        <v>6</v>
      </c>
      <c r="B2" t="s">
        <v>7</v>
      </c>
      <c r="C2" t="s">
        <v>8</v>
      </c>
      <c r="D2" s="1">
        <v>0.38</v>
      </c>
      <c r="E2">
        <v>-2</v>
      </c>
      <c r="F2" t="s">
        <v>9</v>
      </c>
    </row>
    <row r="3" spans="1:6" x14ac:dyDescent="0.3">
      <c r="A3" t="s">
        <v>10</v>
      </c>
      <c r="B3" t="s">
        <v>11</v>
      </c>
      <c r="C3" t="s">
        <v>12</v>
      </c>
      <c r="D3" s="1">
        <v>0.47</v>
      </c>
      <c r="E3">
        <v>-14</v>
      </c>
      <c r="F3" t="s">
        <v>13</v>
      </c>
    </row>
    <row r="4" spans="1:6" x14ac:dyDescent="0.3">
      <c r="A4" t="s">
        <v>14</v>
      </c>
      <c r="B4" t="s">
        <v>15</v>
      </c>
      <c r="C4" t="s">
        <v>16</v>
      </c>
      <c r="D4" s="1">
        <v>0.25</v>
      </c>
      <c r="E4">
        <v>-24</v>
      </c>
      <c r="F4" t="s">
        <v>17</v>
      </c>
    </row>
    <row r="5" spans="1:6" x14ac:dyDescent="0.3">
      <c r="A5" t="s">
        <v>18</v>
      </c>
      <c r="B5" t="s">
        <v>19</v>
      </c>
      <c r="C5" t="s">
        <v>20</v>
      </c>
      <c r="D5" s="1">
        <v>0.37</v>
      </c>
      <c r="E5">
        <v>-7</v>
      </c>
      <c r="F5" t="s">
        <v>21</v>
      </c>
    </row>
    <row r="6" spans="1:6" x14ac:dyDescent="0.3">
      <c r="A6" t="s">
        <v>22</v>
      </c>
      <c r="B6" t="s">
        <v>23</v>
      </c>
      <c r="C6" t="s">
        <v>24</v>
      </c>
      <c r="D6" s="1">
        <v>0.26</v>
      </c>
      <c r="E6">
        <v>-5</v>
      </c>
      <c r="F6" t="s">
        <v>25</v>
      </c>
    </row>
    <row r="7" spans="1:6" x14ac:dyDescent="0.3">
      <c r="A7" t="s">
        <v>26</v>
      </c>
      <c r="B7" t="s">
        <v>27</v>
      </c>
      <c r="C7" t="s">
        <v>28</v>
      </c>
      <c r="D7" s="1">
        <v>0.09</v>
      </c>
      <c r="E7">
        <v>-15</v>
      </c>
      <c r="F7" t="s">
        <v>29</v>
      </c>
    </row>
    <row r="8" spans="1:6" x14ac:dyDescent="0.3">
      <c r="A8" t="s">
        <v>30</v>
      </c>
      <c r="B8" t="s">
        <v>31</v>
      </c>
      <c r="C8" t="s">
        <v>32</v>
      </c>
      <c r="D8" s="1">
        <v>0.24</v>
      </c>
      <c r="E8">
        <v>-55</v>
      </c>
      <c r="F8" t="s">
        <v>17</v>
      </c>
    </row>
    <row r="9" spans="1:6" x14ac:dyDescent="0.3">
      <c r="A9" t="s">
        <v>33</v>
      </c>
      <c r="B9" t="s">
        <v>34</v>
      </c>
      <c r="C9" t="s">
        <v>19</v>
      </c>
      <c r="D9" s="1">
        <v>0.37</v>
      </c>
      <c r="E9">
        <v>-2</v>
      </c>
      <c r="F9" t="s">
        <v>29</v>
      </c>
    </row>
    <row r="10" spans="1:6" x14ac:dyDescent="0.3">
      <c r="A10" t="s">
        <v>35</v>
      </c>
      <c r="B10" t="s">
        <v>36</v>
      </c>
      <c r="C10" t="s">
        <v>37</v>
      </c>
      <c r="D10" s="1">
        <v>0.55000000000000004</v>
      </c>
      <c r="E10">
        <v>-5</v>
      </c>
      <c r="F10" t="s">
        <v>25</v>
      </c>
    </row>
    <row r="11" spans="1:6" x14ac:dyDescent="0.3">
      <c r="A11" t="s">
        <v>38</v>
      </c>
      <c r="B11" t="s">
        <v>39</v>
      </c>
      <c r="C11" t="s">
        <v>40</v>
      </c>
      <c r="D11" s="1">
        <v>0.45</v>
      </c>
      <c r="E11">
        <v>-5</v>
      </c>
      <c r="F11" t="s">
        <v>41</v>
      </c>
    </row>
    <row r="12" spans="1:6" x14ac:dyDescent="0.3">
      <c r="A12" t="s">
        <v>42</v>
      </c>
      <c r="B12" t="s">
        <v>43</v>
      </c>
      <c r="C12" t="s">
        <v>12</v>
      </c>
      <c r="D12" s="1">
        <v>0.2</v>
      </c>
      <c r="E12">
        <v>-12</v>
      </c>
      <c r="F12" t="s">
        <v>13</v>
      </c>
    </row>
    <row r="13" spans="1:6" x14ac:dyDescent="0.3">
      <c r="A13" t="s">
        <v>44</v>
      </c>
      <c r="B13" t="s">
        <v>45</v>
      </c>
      <c r="C13" t="s">
        <v>46</v>
      </c>
      <c r="D13" s="1">
        <v>0.34</v>
      </c>
      <c r="E13">
        <v>-39</v>
      </c>
      <c r="F13" t="s">
        <v>21</v>
      </c>
    </row>
    <row r="14" spans="1:6" x14ac:dyDescent="0.3">
      <c r="A14" t="s">
        <v>47</v>
      </c>
      <c r="B14" t="s">
        <v>48</v>
      </c>
      <c r="C14" t="s">
        <v>49</v>
      </c>
      <c r="D14" s="1">
        <v>0.47</v>
      </c>
      <c r="E14">
        <v>-12</v>
      </c>
      <c r="F14" t="s">
        <v>25</v>
      </c>
    </row>
    <row r="15" spans="1:6" x14ac:dyDescent="0.3">
      <c r="A15" t="s">
        <v>50</v>
      </c>
      <c r="B15" t="s">
        <v>51</v>
      </c>
      <c r="C15" t="s">
        <v>52</v>
      </c>
      <c r="D15" s="1">
        <v>0.42</v>
      </c>
      <c r="E15">
        <v>-6</v>
      </c>
      <c r="F15" t="s">
        <v>9</v>
      </c>
    </row>
    <row r="16" spans="1:6" x14ac:dyDescent="0.3">
      <c r="A16" t="s">
        <v>53</v>
      </c>
      <c r="B16" t="s">
        <v>54</v>
      </c>
      <c r="C16" t="s">
        <v>20</v>
      </c>
      <c r="D16" s="1">
        <v>0.33</v>
      </c>
      <c r="E16">
        <v>-9</v>
      </c>
      <c r="F16" t="s">
        <v>55</v>
      </c>
    </row>
    <row r="17" spans="1:6" x14ac:dyDescent="0.3">
      <c r="A17" t="s">
        <v>56</v>
      </c>
      <c r="B17" t="s">
        <v>57</v>
      </c>
      <c r="C17" t="s">
        <v>58</v>
      </c>
      <c r="D17" s="1">
        <v>0.51</v>
      </c>
      <c r="E17">
        <v>-2</v>
      </c>
      <c r="F17" t="s">
        <v>59</v>
      </c>
    </row>
    <row r="18" spans="1:6" x14ac:dyDescent="0.3">
      <c r="A18" t="s">
        <v>60</v>
      </c>
      <c r="B18" t="s">
        <v>61</v>
      </c>
      <c r="C18" t="s">
        <v>62</v>
      </c>
      <c r="D18" s="1">
        <v>0.46</v>
      </c>
      <c r="E18">
        <v>-2</v>
      </c>
      <c r="F18" t="s">
        <v>59</v>
      </c>
    </row>
    <row r="19" spans="1:6" x14ac:dyDescent="0.3">
      <c r="A19" t="s">
        <v>63</v>
      </c>
      <c r="B19" t="s">
        <v>64</v>
      </c>
      <c r="C19" t="s">
        <v>65</v>
      </c>
      <c r="D19" s="1">
        <v>0.49</v>
      </c>
      <c r="E19">
        <v>-3</v>
      </c>
      <c r="F19" t="s">
        <v>59</v>
      </c>
    </row>
    <row r="20" spans="1:6" x14ac:dyDescent="0.3">
      <c r="A20" t="s">
        <v>66</v>
      </c>
      <c r="B20" t="s">
        <v>27</v>
      </c>
      <c r="C20" t="s">
        <v>67</v>
      </c>
      <c r="D20" s="1">
        <v>0.19</v>
      </c>
      <c r="E20">
        <v>-5</v>
      </c>
      <c r="F20" t="s">
        <v>17</v>
      </c>
    </row>
    <row r="21" spans="1:6" x14ac:dyDescent="0.3">
      <c r="A21" t="s">
        <v>68</v>
      </c>
      <c r="B21" t="s">
        <v>69</v>
      </c>
      <c r="C21" t="s">
        <v>70</v>
      </c>
      <c r="D21" s="1">
        <v>0.49</v>
      </c>
      <c r="E21">
        <v>-44</v>
      </c>
      <c r="F21" t="s">
        <v>17</v>
      </c>
    </row>
    <row r="22" spans="1:6" x14ac:dyDescent="0.3">
      <c r="A22" t="s">
        <v>71</v>
      </c>
      <c r="B22" t="s">
        <v>72</v>
      </c>
      <c r="C22" t="s">
        <v>73</v>
      </c>
      <c r="D22" s="1">
        <v>0.53</v>
      </c>
      <c r="E22">
        <v>-13</v>
      </c>
      <c r="F22" t="s">
        <v>74</v>
      </c>
    </row>
    <row r="23" spans="1:6" x14ac:dyDescent="0.3">
      <c r="A23" t="s">
        <v>75</v>
      </c>
      <c r="B23" t="s">
        <v>76</v>
      </c>
      <c r="C23" t="s">
        <v>77</v>
      </c>
      <c r="D23" s="1">
        <v>0.42</v>
      </c>
    </row>
    <row r="24" spans="1:6" x14ac:dyDescent="0.3">
      <c r="A24" t="s">
        <v>78</v>
      </c>
      <c r="B24" t="s">
        <v>79</v>
      </c>
      <c r="C24" t="s">
        <v>80</v>
      </c>
      <c r="D24" s="1">
        <v>0.35</v>
      </c>
      <c r="E24">
        <v>-6</v>
      </c>
      <c r="F24" t="s">
        <v>29</v>
      </c>
    </row>
    <row r="25" spans="1:6" x14ac:dyDescent="0.3">
      <c r="A25" t="s">
        <v>81</v>
      </c>
      <c r="B25" t="s">
        <v>82</v>
      </c>
      <c r="C25" t="s">
        <v>83</v>
      </c>
      <c r="D25" s="1">
        <v>0.23</v>
      </c>
      <c r="E25">
        <v>-14</v>
      </c>
      <c r="F25" t="s">
        <v>84</v>
      </c>
    </row>
    <row r="26" spans="1:6" x14ac:dyDescent="0.3">
      <c r="A26" t="s">
        <v>85</v>
      </c>
      <c r="B26" t="s">
        <v>86</v>
      </c>
      <c r="C26" t="s">
        <v>87</v>
      </c>
      <c r="D26" s="1">
        <v>0.54</v>
      </c>
      <c r="E26">
        <v>-7</v>
      </c>
      <c r="F26" t="s">
        <v>88</v>
      </c>
    </row>
    <row r="27" spans="1:6" x14ac:dyDescent="0.3">
      <c r="A27" t="s">
        <v>89</v>
      </c>
      <c r="B27" t="s">
        <v>90</v>
      </c>
      <c r="C27" t="s">
        <v>91</v>
      </c>
      <c r="D27" s="1">
        <v>0.35</v>
      </c>
      <c r="E27">
        <v>-49</v>
      </c>
      <c r="F27" t="s">
        <v>17</v>
      </c>
    </row>
    <row r="28" spans="1:6" x14ac:dyDescent="0.3">
      <c r="A28" t="s">
        <v>92</v>
      </c>
      <c r="B28" t="s">
        <v>93</v>
      </c>
      <c r="C28" t="s">
        <v>94</v>
      </c>
      <c r="D28" s="1">
        <v>0.18</v>
      </c>
      <c r="E28">
        <v>-12</v>
      </c>
      <c r="F28" t="s">
        <v>41</v>
      </c>
    </row>
    <row r="29" spans="1:6" x14ac:dyDescent="0.3">
      <c r="A29" t="s">
        <v>95</v>
      </c>
      <c r="B29" t="s">
        <v>80</v>
      </c>
      <c r="C29" t="s">
        <v>96</v>
      </c>
      <c r="D29" s="1">
        <v>0.32</v>
      </c>
      <c r="E29">
        <v>-13</v>
      </c>
      <c r="F29" t="s">
        <v>41</v>
      </c>
    </row>
    <row r="30" spans="1:6" x14ac:dyDescent="0.3">
      <c r="A30" t="s">
        <v>97</v>
      </c>
      <c r="B30" t="s">
        <v>98</v>
      </c>
      <c r="C30" t="s">
        <v>20</v>
      </c>
      <c r="D30" s="1">
        <v>0.3</v>
      </c>
      <c r="E30">
        <v>-20</v>
      </c>
      <c r="F30" t="s">
        <v>13</v>
      </c>
    </row>
    <row r="31" spans="1:6" x14ac:dyDescent="0.3">
      <c r="A31" t="s">
        <v>99</v>
      </c>
      <c r="B31" t="s">
        <v>100</v>
      </c>
      <c r="C31" t="s">
        <v>101</v>
      </c>
      <c r="D31" s="1">
        <v>0.46</v>
      </c>
    </row>
    <row r="32" spans="1:6" x14ac:dyDescent="0.3">
      <c r="A32" t="s">
        <v>102</v>
      </c>
      <c r="B32" t="s">
        <v>103</v>
      </c>
      <c r="C32" t="s">
        <v>104</v>
      </c>
      <c r="D32" s="1">
        <v>0.52</v>
      </c>
      <c r="E32">
        <v>-9</v>
      </c>
      <c r="F32" t="s">
        <v>88</v>
      </c>
    </row>
    <row r="33" spans="1:6" x14ac:dyDescent="0.3">
      <c r="A33" t="s">
        <v>105</v>
      </c>
      <c r="B33" t="s">
        <v>106</v>
      </c>
      <c r="C33" t="s">
        <v>107</v>
      </c>
      <c r="D33" s="1">
        <v>0.34</v>
      </c>
      <c r="E33">
        <v>-12</v>
      </c>
      <c r="F33" t="s">
        <v>21</v>
      </c>
    </row>
    <row r="34" spans="1:6" x14ac:dyDescent="0.3">
      <c r="A34" t="s">
        <v>108</v>
      </c>
      <c r="B34" t="s">
        <v>109</v>
      </c>
      <c r="C34" t="s">
        <v>110</v>
      </c>
      <c r="D34" s="1">
        <v>0.48</v>
      </c>
      <c r="E34">
        <v>-9</v>
      </c>
      <c r="F34" t="s">
        <v>88</v>
      </c>
    </row>
    <row r="35" spans="1:6" x14ac:dyDescent="0.3">
      <c r="A35" t="s">
        <v>111</v>
      </c>
      <c r="B35" t="s">
        <v>112</v>
      </c>
      <c r="C35" t="s">
        <v>113</v>
      </c>
      <c r="D35" s="1">
        <v>0.27</v>
      </c>
      <c r="E35">
        <v>-20</v>
      </c>
      <c r="F35" t="s">
        <v>21</v>
      </c>
    </row>
    <row r="36" spans="1:6" x14ac:dyDescent="0.3">
      <c r="A36" t="s">
        <v>114</v>
      </c>
      <c r="B36" t="s">
        <v>115</v>
      </c>
      <c r="C36" t="s">
        <v>116</v>
      </c>
      <c r="D36" s="1">
        <v>0.27</v>
      </c>
      <c r="E36">
        <v>-32</v>
      </c>
      <c r="F36" t="s">
        <v>9</v>
      </c>
    </row>
    <row r="37" spans="1:6" x14ac:dyDescent="0.3">
      <c r="A37" t="s">
        <v>117</v>
      </c>
      <c r="B37" t="s">
        <v>118</v>
      </c>
      <c r="C37" t="s">
        <v>119</v>
      </c>
      <c r="D37" s="1">
        <v>0.4</v>
      </c>
      <c r="E37">
        <v>-1</v>
      </c>
      <c r="F37" t="s">
        <v>59</v>
      </c>
    </row>
    <row r="38" spans="1:6" x14ac:dyDescent="0.3">
      <c r="A38" t="s">
        <v>120</v>
      </c>
      <c r="B38" t="s">
        <v>121</v>
      </c>
      <c r="C38" t="s">
        <v>62</v>
      </c>
      <c r="D38" s="1">
        <v>0.53</v>
      </c>
      <c r="E38">
        <v>-2</v>
      </c>
      <c r="F38" t="s">
        <v>59</v>
      </c>
    </row>
    <row r="39" spans="1:6" x14ac:dyDescent="0.3">
      <c r="A39" t="s">
        <v>122</v>
      </c>
      <c r="B39" t="s">
        <v>123</v>
      </c>
      <c r="C39" t="s">
        <v>124</v>
      </c>
      <c r="D39" s="1">
        <v>0.41</v>
      </c>
      <c r="E39">
        <v>-36</v>
      </c>
      <c r="F39" t="s">
        <v>88</v>
      </c>
    </row>
    <row r="40" spans="1:6" x14ac:dyDescent="0.3">
      <c r="A40" t="s">
        <v>125</v>
      </c>
      <c r="B40" t="s">
        <v>126</v>
      </c>
      <c r="C40" t="s">
        <v>127</v>
      </c>
      <c r="D40" s="1">
        <v>0.38</v>
      </c>
      <c r="E40">
        <v>-2</v>
      </c>
      <c r="F40" t="s">
        <v>9</v>
      </c>
    </row>
    <row r="41" spans="1:6" x14ac:dyDescent="0.3">
      <c r="A41" t="s">
        <v>128</v>
      </c>
      <c r="B41" t="s">
        <v>129</v>
      </c>
      <c r="C41" t="s">
        <v>130</v>
      </c>
      <c r="D41" s="1">
        <v>0.38</v>
      </c>
    </row>
    <row r="42" spans="1:6" x14ac:dyDescent="0.3">
      <c r="A42" t="s">
        <v>131</v>
      </c>
      <c r="B42" t="s">
        <v>132</v>
      </c>
      <c r="C42" t="s">
        <v>133</v>
      </c>
      <c r="D42" s="1">
        <v>0.49</v>
      </c>
    </row>
    <row r="43" spans="1:6" x14ac:dyDescent="0.3">
      <c r="A43" t="s">
        <v>134</v>
      </c>
      <c r="B43" t="s">
        <v>135</v>
      </c>
      <c r="C43" t="s">
        <v>136</v>
      </c>
      <c r="D43" s="1">
        <v>0.5</v>
      </c>
    </row>
    <row r="44" spans="1:6" x14ac:dyDescent="0.3">
      <c r="A44" t="s">
        <v>137</v>
      </c>
      <c r="B44" t="s">
        <v>138</v>
      </c>
      <c r="C44" t="s">
        <v>139</v>
      </c>
      <c r="D44" s="1">
        <v>0.42</v>
      </c>
    </row>
    <row r="45" spans="1:6" x14ac:dyDescent="0.3">
      <c r="A45" t="s">
        <v>137</v>
      </c>
      <c r="B45" t="s">
        <v>138</v>
      </c>
      <c r="C45" t="s">
        <v>139</v>
      </c>
      <c r="D45" s="1">
        <v>0.42</v>
      </c>
    </row>
    <row r="46" spans="1:6" x14ac:dyDescent="0.3">
      <c r="A46" t="s">
        <v>140</v>
      </c>
      <c r="B46" t="s">
        <v>141</v>
      </c>
      <c r="C46" t="s">
        <v>142</v>
      </c>
      <c r="D46" s="1">
        <v>0.02</v>
      </c>
    </row>
    <row r="47" spans="1:6" x14ac:dyDescent="0.3">
      <c r="A47" t="s">
        <v>143</v>
      </c>
      <c r="B47" t="s">
        <v>12</v>
      </c>
      <c r="C47" t="s">
        <v>144</v>
      </c>
      <c r="D47" s="1">
        <v>0.5</v>
      </c>
    </row>
    <row r="48" spans="1:6" x14ac:dyDescent="0.3">
      <c r="A48" t="s">
        <v>145</v>
      </c>
      <c r="B48" t="s">
        <v>146</v>
      </c>
      <c r="C48" t="s">
        <v>147</v>
      </c>
      <c r="D48" s="1">
        <v>0.33</v>
      </c>
    </row>
    <row r="49" spans="1:6" x14ac:dyDescent="0.3">
      <c r="A49" t="s">
        <v>148</v>
      </c>
      <c r="B49" t="s">
        <v>149</v>
      </c>
      <c r="C49" t="s">
        <v>150</v>
      </c>
      <c r="D49" s="1">
        <v>0.49</v>
      </c>
    </row>
    <row r="50" spans="1:6" x14ac:dyDescent="0.3">
      <c r="A50" t="s">
        <v>151</v>
      </c>
      <c r="B50" t="s">
        <v>152</v>
      </c>
      <c r="C50" t="s">
        <v>153</v>
      </c>
      <c r="D50" s="1">
        <v>0.38</v>
      </c>
    </row>
    <row r="51" spans="1:6" x14ac:dyDescent="0.3">
      <c r="A51" t="s">
        <v>154</v>
      </c>
      <c r="B51" t="s">
        <v>155</v>
      </c>
      <c r="C51" t="s">
        <v>156</v>
      </c>
      <c r="D51" s="1">
        <v>0.61</v>
      </c>
    </row>
    <row r="52" spans="1:6" x14ac:dyDescent="0.3">
      <c r="A52" t="s">
        <v>157</v>
      </c>
      <c r="B52" t="s">
        <v>158</v>
      </c>
      <c r="C52" t="s">
        <v>159</v>
      </c>
      <c r="D52" s="1">
        <v>0.5</v>
      </c>
    </row>
    <row r="53" spans="1:6" x14ac:dyDescent="0.3">
      <c r="A53" t="s">
        <v>160</v>
      </c>
      <c r="B53" t="s">
        <v>161</v>
      </c>
      <c r="C53" t="s">
        <v>162</v>
      </c>
      <c r="D53" s="1">
        <v>0.02</v>
      </c>
    </row>
    <row r="54" spans="1:6" x14ac:dyDescent="0.3">
      <c r="A54" t="s">
        <v>163</v>
      </c>
      <c r="B54" t="s">
        <v>158</v>
      </c>
      <c r="C54" t="s">
        <v>164</v>
      </c>
      <c r="D54" s="1">
        <v>0.22</v>
      </c>
    </row>
    <row r="55" spans="1:6" x14ac:dyDescent="0.3">
      <c r="A55" t="s">
        <v>165</v>
      </c>
      <c r="B55" t="s">
        <v>166</v>
      </c>
      <c r="C55" t="s">
        <v>167</v>
      </c>
      <c r="D55" s="1">
        <v>0.03</v>
      </c>
    </row>
    <row r="56" spans="1:6" x14ac:dyDescent="0.3">
      <c r="A56" t="s">
        <v>168</v>
      </c>
      <c r="B56" t="s">
        <v>43</v>
      </c>
      <c r="C56" t="s">
        <v>169</v>
      </c>
      <c r="D56" s="1">
        <v>0.41</v>
      </c>
    </row>
    <row r="57" spans="1:6" x14ac:dyDescent="0.3">
      <c r="A57" t="s">
        <v>170</v>
      </c>
      <c r="B57" t="s">
        <v>171</v>
      </c>
      <c r="C57" t="s">
        <v>172</v>
      </c>
      <c r="D57" s="1">
        <v>0.45</v>
      </c>
    </row>
    <row r="58" spans="1:6" x14ac:dyDescent="0.3">
      <c r="A58" t="s">
        <v>173</v>
      </c>
      <c r="B58" t="s">
        <v>174</v>
      </c>
      <c r="C58" t="s">
        <v>169</v>
      </c>
      <c r="D58" s="1">
        <v>0.48</v>
      </c>
    </row>
    <row r="59" spans="1:6" x14ac:dyDescent="0.3">
      <c r="A59" t="s">
        <v>175</v>
      </c>
      <c r="B59" t="s">
        <v>43</v>
      </c>
      <c r="C59" t="s">
        <v>176</v>
      </c>
      <c r="D59" s="1">
        <v>0.49</v>
      </c>
    </row>
    <row r="60" spans="1:6" x14ac:dyDescent="0.3">
      <c r="A60" t="s">
        <v>177</v>
      </c>
      <c r="B60" t="s">
        <v>178</v>
      </c>
      <c r="C60" t="s">
        <v>179</v>
      </c>
      <c r="D60" s="1">
        <v>0.27</v>
      </c>
    </row>
    <row r="61" spans="1:6" x14ac:dyDescent="0.3">
      <c r="A61" t="s">
        <v>170</v>
      </c>
      <c r="B61" t="s">
        <v>180</v>
      </c>
      <c r="C61" t="s">
        <v>181</v>
      </c>
      <c r="D61" s="1">
        <v>0.55000000000000004</v>
      </c>
    </row>
    <row r="62" spans="1:6" x14ac:dyDescent="0.3">
      <c r="A62" t="s">
        <v>182</v>
      </c>
      <c r="B62" t="s">
        <v>183</v>
      </c>
      <c r="C62" t="s">
        <v>184</v>
      </c>
      <c r="D62" s="1">
        <v>0.13</v>
      </c>
      <c r="E62">
        <v>-6</v>
      </c>
      <c r="F62" t="s">
        <v>185</v>
      </c>
    </row>
    <row r="63" spans="1:6" x14ac:dyDescent="0.3">
      <c r="A63" t="s">
        <v>186</v>
      </c>
      <c r="B63" t="s">
        <v>187</v>
      </c>
      <c r="C63" t="s">
        <v>188</v>
      </c>
      <c r="D63" s="1">
        <v>0.54</v>
      </c>
      <c r="E63">
        <v>-10</v>
      </c>
      <c r="F63" t="s">
        <v>189</v>
      </c>
    </row>
    <row r="64" spans="1:6" x14ac:dyDescent="0.3">
      <c r="A64" t="s">
        <v>190</v>
      </c>
      <c r="B64" t="s">
        <v>191</v>
      </c>
      <c r="C64" t="s">
        <v>192</v>
      </c>
      <c r="D64" s="1">
        <v>0.55000000000000004</v>
      </c>
      <c r="E64">
        <v>-13</v>
      </c>
      <c r="F64" t="s">
        <v>193</v>
      </c>
    </row>
    <row r="65" spans="1:6" x14ac:dyDescent="0.3">
      <c r="A65" t="s">
        <v>194</v>
      </c>
      <c r="B65" t="s">
        <v>195</v>
      </c>
      <c r="C65" t="s">
        <v>196</v>
      </c>
      <c r="D65" s="1">
        <v>0.49</v>
      </c>
      <c r="E65">
        <v>-69</v>
      </c>
      <c r="F65" t="s">
        <v>197</v>
      </c>
    </row>
    <row r="66" spans="1:6" x14ac:dyDescent="0.3">
      <c r="A66" t="s">
        <v>198</v>
      </c>
      <c r="B66" t="s">
        <v>199</v>
      </c>
      <c r="C66" t="s">
        <v>200</v>
      </c>
      <c r="D66" s="1">
        <v>0.52</v>
      </c>
      <c r="E66">
        <v>-15</v>
      </c>
      <c r="F66" t="s">
        <v>201</v>
      </c>
    </row>
    <row r="67" spans="1:6" x14ac:dyDescent="0.3">
      <c r="A67" t="s">
        <v>202</v>
      </c>
      <c r="B67" t="s">
        <v>203</v>
      </c>
      <c r="C67" t="s">
        <v>204</v>
      </c>
      <c r="D67" s="1">
        <v>0.22</v>
      </c>
      <c r="E67">
        <v>-16</v>
      </c>
      <c r="F67" t="s">
        <v>205</v>
      </c>
    </row>
    <row r="68" spans="1:6" x14ac:dyDescent="0.3">
      <c r="A68" t="s">
        <v>206</v>
      </c>
      <c r="B68" t="s">
        <v>45</v>
      </c>
      <c r="C68" t="s">
        <v>207</v>
      </c>
      <c r="D68" s="1">
        <v>0.45</v>
      </c>
      <c r="E68">
        <v>-6</v>
      </c>
      <c r="F68" t="s">
        <v>208</v>
      </c>
    </row>
    <row r="69" spans="1:6" x14ac:dyDescent="0.3">
      <c r="A69" t="s">
        <v>209</v>
      </c>
      <c r="B69" t="s">
        <v>210</v>
      </c>
      <c r="C69" t="s">
        <v>144</v>
      </c>
      <c r="D69" s="1">
        <v>0.5</v>
      </c>
      <c r="E69">
        <v>-7</v>
      </c>
      <c r="F69" t="s">
        <v>211</v>
      </c>
    </row>
    <row r="70" spans="1:6" x14ac:dyDescent="0.3">
      <c r="A70" t="s">
        <v>212</v>
      </c>
      <c r="B70" t="s">
        <v>213</v>
      </c>
      <c r="C70" t="s">
        <v>214</v>
      </c>
      <c r="D70" s="1">
        <v>0.39</v>
      </c>
      <c r="E70">
        <v>-5</v>
      </c>
      <c r="F70" t="s">
        <v>189</v>
      </c>
    </row>
    <row r="71" spans="1:6" x14ac:dyDescent="0.3">
      <c r="A71" t="s">
        <v>215</v>
      </c>
      <c r="B71" t="s">
        <v>104</v>
      </c>
      <c r="C71" t="s">
        <v>216</v>
      </c>
      <c r="D71" s="1">
        <v>0.45</v>
      </c>
      <c r="E71">
        <v>-17</v>
      </c>
      <c r="F71" t="s">
        <v>217</v>
      </c>
    </row>
    <row r="72" spans="1:6" x14ac:dyDescent="0.3">
      <c r="A72" t="s">
        <v>218</v>
      </c>
      <c r="B72" t="s">
        <v>219</v>
      </c>
      <c r="C72" t="s">
        <v>220</v>
      </c>
      <c r="D72" s="1">
        <v>0.28999999999999998</v>
      </c>
      <c r="E72">
        <v>-5</v>
      </c>
      <c r="F72" t="s">
        <v>189</v>
      </c>
    </row>
    <row r="73" spans="1:6" x14ac:dyDescent="0.3">
      <c r="A73" t="s">
        <v>221</v>
      </c>
      <c r="B73" t="s">
        <v>222</v>
      </c>
      <c r="C73" t="s">
        <v>223</v>
      </c>
      <c r="D73" s="1">
        <v>0.43</v>
      </c>
      <c r="E73">
        <v>-6</v>
      </c>
      <c r="F73" t="s">
        <v>211</v>
      </c>
    </row>
    <row r="74" spans="1:6" x14ac:dyDescent="0.3">
      <c r="A74" t="s">
        <v>224</v>
      </c>
      <c r="B74" t="s">
        <v>225</v>
      </c>
      <c r="C74" t="s">
        <v>226</v>
      </c>
      <c r="D74" s="1">
        <v>0.43</v>
      </c>
      <c r="E74">
        <v>-5</v>
      </c>
      <c r="F74" t="s">
        <v>189</v>
      </c>
    </row>
    <row r="75" spans="1:6" x14ac:dyDescent="0.3">
      <c r="A75" t="s">
        <v>227</v>
      </c>
      <c r="B75" t="s">
        <v>228</v>
      </c>
      <c r="C75" t="s">
        <v>207</v>
      </c>
      <c r="D75" s="1">
        <v>0.47</v>
      </c>
      <c r="E75">
        <v>-6</v>
      </c>
      <c r="F75" t="s">
        <v>208</v>
      </c>
    </row>
    <row r="76" spans="1:6" x14ac:dyDescent="0.3">
      <c r="A76" t="s">
        <v>229</v>
      </c>
      <c r="B76" t="s">
        <v>230</v>
      </c>
      <c r="C76" t="s">
        <v>231</v>
      </c>
      <c r="D76" s="1">
        <v>0.47</v>
      </c>
      <c r="E76">
        <v>-7</v>
      </c>
      <c r="F76" t="s">
        <v>193</v>
      </c>
    </row>
    <row r="77" spans="1:6" x14ac:dyDescent="0.3">
      <c r="A77" t="s">
        <v>232</v>
      </c>
      <c r="B77" t="s">
        <v>233</v>
      </c>
      <c r="C77" t="s">
        <v>234</v>
      </c>
      <c r="D77" s="1">
        <v>0.47</v>
      </c>
    </row>
    <row r="78" spans="1:6" x14ac:dyDescent="0.3">
      <c r="A78" t="s">
        <v>235</v>
      </c>
      <c r="B78" t="s">
        <v>236</v>
      </c>
      <c r="C78" t="s">
        <v>152</v>
      </c>
      <c r="D78" s="1">
        <v>0.43</v>
      </c>
    </row>
    <row r="79" spans="1:6" x14ac:dyDescent="0.3">
      <c r="A79" t="s">
        <v>237</v>
      </c>
      <c r="B79" t="s">
        <v>238</v>
      </c>
      <c r="C79" t="s">
        <v>239</v>
      </c>
      <c r="D79" s="1">
        <v>0.04</v>
      </c>
    </row>
    <row r="80" spans="1:6" x14ac:dyDescent="0.3">
      <c r="A80" t="s">
        <v>240</v>
      </c>
      <c r="B80" t="s">
        <v>241</v>
      </c>
      <c r="C80" t="s">
        <v>242</v>
      </c>
      <c r="D80" s="1">
        <v>0.49</v>
      </c>
    </row>
    <row r="81" spans="1:6" x14ac:dyDescent="0.3">
      <c r="A81" t="s">
        <v>243</v>
      </c>
      <c r="B81" t="s">
        <v>244</v>
      </c>
      <c r="C81" t="s">
        <v>15</v>
      </c>
      <c r="D81" s="1">
        <v>0.46</v>
      </c>
      <c r="E81">
        <v>-1</v>
      </c>
      <c r="F81" t="s">
        <v>189</v>
      </c>
    </row>
    <row r="82" spans="1:6" x14ac:dyDescent="0.3">
      <c r="A82" t="s">
        <v>245</v>
      </c>
      <c r="B82" t="s">
        <v>246</v>
      </c>
      <c r="C82" t="s">
        <v>247</v>
      </c>
      <c r="D82" s="1">
        <v>0.49</v>
      </c>
      <c r="E82">
        <v>-1</v>
      </c>
      <c r="F82" t="s">
        <v>59</v>
      </c>
    </row>
    <row r="83" spans="1:6" x14ac:dyDescent="0.3">
      <c r="A83" t="s">
        <v>248</v>
      </c>
      <c r="B83" t="s">
        <v>249</v>
      </c>
      <c r="C83" t="s">
        <v>250</v>
      </c>
      <c r="D83" s="1">
        <v>0.36</v>
      </c>
    </row>
    <row r="84" spans="1:6" x14ac:dyDescent="0.3">
      <c r="A84" t="s">
        <v>251</v>
      </c>
      <c r="B84" t="s">
        <v>252</v>
      </c>
      <c r="C84" t="s">
        <v>162</v>
      </c>
      <c r="D84" s="1">
        <v>0.02</v>
      </c>
    </row>
    <row r="85" spans="1:6" x14ac:dyDescent="0.3">
      <c r="A85" t="s">
        <v>253</v>
      </c>
      <c r="B85" t="s">
        <v>254</v>
      </c>
      <c r="C85" t="s">
        <v>91</v>
      </c>
      <c r="D85" s="1">
        <v>0.49</v>
      </c>
      <c r="E85">
        <v>-1</v>
      </c>
      <c r="F85" t="s">
        <v>29</v>
      </c>
    </row>
    <row r="86" spans="1:6" x14ac:dyDescent="0.3">
      <c r="A86" t="s">
        <v>137</v>
      </c>
      <c r="B86" t="s">
        <v>138</v>
      </c>
      <c r="C86" t="s">
        <v>139</v>
      </c>
      <c r="D86" s="1">
        <v>0.42</v>
      </c>
    </row>
    <row r="87" spans="1:6" x14ac:dyDescent="0.3">
      <c r="A87" t="s">
        <v>154</v>
      </c>
      <c r="B87" t="s">
        <v>255</v>
      </c>
      <c r="C87" t="s">
        <v>222</v>
      </c>
      <c r="D87" s="1">
        <v>0.49</v>
      </c>
    </row>
    <row r="88" spans="1:6" x14ac:dyDescent="0.3">
      <c r="A88" t="s">
        <v>256</v>
      </c>
      <c r="B88" t="s">
        <v>257</v>
      </c>
      <c r="C88" t="s">
        <v>162</v>
      </c>
      <c r="D88" s="1">
        <v>0.14000000000000001</v>
      </c>
    </row>
    <row r="89" spans="1:6" x14ac:dyDescent="0.3">
      <c r="A89" t="s">
        <v>258</v>
      </c>
      <c r="B89" t="s">
        <v>259</v>
      </c>
      <c r="C89" t="s">
        <v>260</v>
      </c>
      <c r="D89" s="1">
        <v>0.49</v>
      </c>
    </row>
    <row r="90" spans="1:6" x14ac:dyDescent="0.3">
      <c r="A90" t="s">
        <v>261</v>
      </c>
      <c r="B90" t="s">
        <v>43</v>
      </c>
      <c r="C90" t="s">
        <v>172</v>
      </c>
      <c r="D90" s="1">
        <v>0.11</v>
      </c>
    </row>
    <row r="91" spans="1:6" x14ac:dyDescent="0.3">
      <c r="A91" t="s">
        <v>175</v>
      </c>
      <c r="B91" t="s">
        <v>262</v>
      </c>
      <c r="C91" t="s">
        <v>263</v>
      </c>
      <c r="D91" s="1">
        <v>0.49</v>
      </c>
    </row>
    <row r="92" spans="1:6" x14ac:dyDescent="0.3">
      <c r="A92" t="s">
        <v>264</v>
      </c>
      <c r="B92" t="s">
        <v>265</v>
      </c>
      <c r="C92" t="s">
        <v>162</v>
      </c>
      <c r="D92" s="1">
        <v>0.14000000000000001</v>
      </c>
    </row>
    <row r="93" spans="1:6" x14ac:dyDescent="0.3">
      <c r="A93" t="s">
        <v>266</v>
      </c>
      <c r="B93" t="s">
        <v>267</v>
      </c>
      <c r="C93" t="s">
        <v>268</v>
      </c>
      <c r="D93" s="1">
        <v>0.43</v>
      </c>
    </row>
    <row r="94" spans="1:6" x14ac:dyDescent="0.3">
      <c r="A94" t="s">
        <v>269</v>
      </c>
      <c r="B94" t="s">
        <v>270</v>
      </c>
      <c r="C94" t="s">
        <v>271</v>
      </c>
      <c r="D94" s="1">
        <v>0.5</v>
      </c>
    </row>
    <row r="95" spans="1:6" x14ac:dyDescent="0.3">
      <c r="A95" t="s">
        <v>272</v>
      </c>
      <c r="B95" t="s">
        <v>273</v>
      </c>
      <c r="C95" t="s">
        <v>184</v>
      </c>
      <c r="D95" s="1">
        <v>0.48</v>
      </c>
    </row>
    <row r="96" spans="1:6" x14ac:dyDescent="0.3">
      <c r="A96" t="s">
        <v>274</v>
      </c>
      <c r="B96" t="s">
        <v>275</v>
      </c>
      <c r="C96" t="s">
        <v>276</v>
      </c>
      <c r="D96" s="1">
        <v>0.48</v>
      </c>
    </row>
    <row r="97" spans="1:6" x14ac:dyDescent="0.3">
      <c r="A97" t="s">
        <v>277</v>
      </c>
      <c r="B97" t="s">
        <v>226</v>
      </c>
      <c r="C97" t="s">
        <v>162</v>
      </c>
      <c r="D97" s="1">
        <v>0.47</v>
      </c>
    </row>
    <row r="98" spans="1:6" x14ac:dyDescent="0.3">
      <c r="A98" t="s">
        <v>277</v>
      </c>
      <c r="B98" t="s">
        <v>226</v>
      </c>
      <c r="C98" t="s">
        <v>162</v>
      </c>
      <c r="D98" s="1">
        <v>0.47</v>
      </c>
    </row>
    <row r="99" spans="1:6" x14ac:dyDescent="0.3">
      <c r="A99" t="s">
        <v>278</v>
      </c>
      <c r="B99" t="s">
        <v>152</v>
      </c>
      <c r="C99" t="s">
        <v>279</v>
      </c>
      <c r="D99" s="1">
        <v>0.5</v>
      </c>
    </row>
    <row r="100" spans="1:6" x14ac:dyDescent="0.3">
      <c r="A100" t="s">
        <v>280</v>
      </c>
      <c r="B100" t="s">
        <v>281</v>
      </c>
      <c r="C100" t="s">
        <v>161</v>
      </c>
      <c r="D100" s="1">
        <v>0.08</v>
      </c>
    </row>
    <row r="101" spans="1:6" x14ac:dyDescent="0.3">
      <c r="A101" t="s">
        <v>282</v>
      </c>
      <c r="B101" t="s">
        <v>283</v>
      </c>
      <c r="C101" t="s">
        <v>167</v>
      </c>
      <c r="D101" s="1">
        <v>0.02</v>
      </c>
    </row>
    <row r="102" spans="1:6" x14ac:dyDescent="0.3">
      <c r="A102" t="s">
        <v>284</v>
      </c>
      <c r="B102" t="s">
        <v>285</v>
      </c>
      <c r="C102" t="s">
        <v>286</v>
      </c>
      <c r="D102" s="1">
        <v>0.49</v>
      </c>
    </row>
    <row r="103" spans="1:6" x14ac:dyDescent="0.3">
      <c r="A103" t="s">
        <v>287</v>
      </c>
      <c r="B103" t="s">
        <v>288</v>
      </c>
      <c r="C103" t="s">
        <v>67</v>
      </c>
      <c r="D103" s="1">
        <v>0.04</v>
      </c>
    </row>
    <row r="104" spans="1:6" x14ac:dyDescent="0.3">
      <c r="A104" t="s">
        <v>289</v>
      </c>
      <c r="B104" t="s">
        <v>290</v>
      </c>
      <c r="C104" t="s">
        <v>291</v>
      </c>
      <c r="D104" s="1">
        <v>0.49</v>
      </c>
    </row>
    <row r="105" spans="1:6" x14ac:dyDescent="0.3">
      <c r="A105" t="s">
        <v>292</v>
      </c>
      <c r="B105" t="s">
        <v>293</v>
      </c>
      <c r="C105" t="s">
        <v>294</v>
      </c>
      <c r="D105" s="1">
        <v>0.42</v>
      </c>
    </row>
    <row r="106" spans="1:6" x14ac:dyDescent="0.3">
      <c r="A106" t="s">
        <v>295</v>
      </c>
      <c r="B106" t="s">
        <v>296</v>
      </c>
      <c r="C106" t="s">
        <v>297</v>
      </c>
      <c r="D106" s="1">
        <v>0.21</v>
      </c>
      <c r="E106">
        <v>-1</v>
      </c>
      <c r="F106" t="s">
        <v>59</v>
      </c>
    </row>
    <row r="107" spans="1:6" x14ac:dyDescent="0.3">
      <c r="A107" t="s">
        <v>298</v>
      </c>
      <c r="B107" t="s">
        <v>299</v>
      </c>
      <c r="C107" t="s">
        <v>300</v>
      </c>
      <c r="D107" s="1">
        <v>0.41</v>
      </c>
    </row>
    <row r="108" spans="1:6" x14ac:dyDescent="0.3">
      <c r="A108" t="s">
        <v>301</v>
      </c>
      <c r="B108" t="s">
        <v>302</v>
      </c>
      <c r="C108" t="s">
        <v>303</v>
      </c>
      <c r="D108" s="1">
        <v>0.01</v>
      </c>
    </row>
    <row r="109" spans="1:6" x14ac:dyDescent="0.3">
      <c r="A109" t="s">
        <v>304</v>
      </c>
      <c r="B109" t="s">
        <v>305</v>
      </c>
      <c r="C109" t="s">
        <v>306</v>
      </c>
      <c r="D109" s="1">
        <v>0.24</v>
      </c>
    </row>
    <row r="110" spans="1:6" x14ac:dyDescent="0.3">
      <c r="A110" t="s">
        <v>307</v>
      </c>
      <c r="B110" t="s">
        <v>308</v>
      </c>
      <c r="C110" t="s">
        <v>309</v>
      </c>
      <c r="D110" s="1">
        <v>0.34</v>
      </c>
    </row>
    <row r="111" spans="1:6" x14ac:dyDescent="0.3">
      <c r="A111" t="s">
        <v>310</v>
      </c>
      <c r="B111" t="s">
        <v>146</v>
      </c>
      <c r="C111" t="s">
        <v>311</v>
      </c>
      <c r="D111" s="1">
        <v>0.34</v>
      </c>
    </row>
    <row r="112" spans="1:6" x14ac:dyDescent="0.3">
      <c r="A112" t="s">
        <v>312</v>
      </c>
      <c r="B112" t="s">
        <v>313</v>
      </c>
      <c r="C112" t="s">
        <v>162</v>
      </c>
      <c r="D112" s="1">
        <v>0.02</v>
      </c>
    </row>
    <row r="113" spans="1:6" x14ac:dyDescent="0.3">
      <c r="A113" t="s">
        <v>314</v>
      </c>
      <c r="B113" t="s">
        <v>315</v>
      </c>
      <c r="C113" t="s">
        <v>239</v>
      </c>
      <c r="D113" s="1">
        <v>0.02</v>
      </c>
    </row>
    <row r="114" spans="1:6" x14ac:dyDescent="0.3">
      <c r="A114" t="s">
        <v>316</v>
      </c>
      <c r="B114" t="s">
        <v>155</v>
      </c>
      <c r="C114" t="s">
        <v>317</v>
      </c>
      <c r="D114" s="1">
        <v>0.64</v>
      </c>
    </row>
    <row r="115" spans="1:6" x14ac:dyDescent="0.3">
      <c r="A115" t="s">
        <v>318</v>
      </c>
      <c r="B115" t="s">
        <v>242</v>
      </c>
      <c r="C115" t="s">
        <v>172</v>
      </c>
      <c r="D115" s="1">
        <v>0.5</v>
      </c>
      <c r="E115">
        <v>-1</v>
      </c>
      <c r="F115" t="s">
        <v>319</v>
      </c>
    </row>
    <row r="116" spans="1:6" x14ac:dyDescent="0.3">
      <c r="A116" t="s">
        <v>320</v>
      </c>
      <c r="B116" t="s">
        <v>321</v>
      </c>
      <c r="C116" t="s">
        <v>322</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3E6D6-6DF3-41DA-B0B2-3C4D7D866AF6}">
  <dimension ref="A3:C9"/>
  <sheetViews>
    <sheetView workbookViewId="0">
      <selection activeCell="A3" sqref="A3"/>
    </sheetView>
  </sheetViews>
  <sheetFormatPr defaultRowHeight="14.4" x14ac:dyDescent="0.3"/>
  <cols>
    <col min="1" max="1" width="16.44140625" bestFit="1" customWidth="1"/>
    <col min="2" max="2" width="20.88671875" bestFit="1" customWidth="1"/>
    <col min="3" max="3" width="16.77734375" bestFit="1" customWidth="1"/>
  </cols>
  <sheetData>
    <row r="3" spans="1:3" x14ac:dyDescent="0.3">
      <c r="A3" s="10" t="s">
        <v>339</v>
      </c>
      <c r="B3" t="s">
        <v>345</v>
      </c>
      <c r="C3" t="s">
        <v>346</v>
      </c>
    </row>
    <row r="4" spans="1:3" x14ac:dyDescent="0.3">
      <c r="A4" s="11" t="s">
        <v>348</v>
      </c>
      <c r="B4" s="3">
        <v>0.33153846153846156</v>
      </c>
      <c r="C4" s="4">
        <v>1.7692307692307692</v>
      </c>
    </row>
    <row r="5" spans="1:3" x14ac:dyDescent="0.3">
      <c r="A5" s="11" t="s">
        <v>340</v>
      </c>
      <c r="B5" s="3">
        <v>0.37624999999999997</v>
      </c>
      <c r="C5" s="4">
        <v>3.1875</v>
      </c>
    </row>
    <row r="6" spans="1:3" x14ac:dyDescent="0.3">
      <c r="A6" s="11" t="s">
        <v>341</v>
      </c>
      <c r="B6" s="3">
        <v>0.40888888888888891</v>
      </c>
      <c r="C6" s="4">
        <v>3.5111111111111111</v>
      </c>
    </row>
    <row r="7" spans="1:3" x14ac:dyDescent="0.3">
      <c r="A7" s="11" t="s">
        <v>342</v>
      </c>
      <c r="B7" s="3">
        <v>0.38034482758620675</v>
      </c>
      <c r="C7" s="4">
        <v>1.6224137931034481</v>
      </c>
    </row>
    <row r="8" spans="1:3" x14ac:dyDescent="0.3">
      <c r="A8" s="11" t="s">
        <v>343</v>
      </c>
      <c r="B8" s="3">
        <v>0.33874999999999994</v>
      </c>
      <c r="C8" s="4">
        <v>1.9791666666666667</v>
      </c>
    </row>
    <row r="9" spans="1:3" x14ac:dyDescent="0.3">
      <c r="A9" s="11" t="s">
        <v>344</v>
      </c>
      <c r="B9" s="3">
        <v>0.3677678571428572</v>
      </c>
      <c r="C9" s="4">
        <v>1.9794642857142855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EE212-9B35-4383-A80A-B7507DDAB3A9}">
  <dimension ref="A3:B15"/>
  <sheetViews>
    <sheetView workbookViewId="0">
      <selection activeCell="B21" sqref="B21"/>
    </sheetView>
  </sheetViews>
  <sheetFormatPr defaultRowHeight="14.4" x14ac:dyDescent="0.3"/>
  <cols>
    <col min="1" max="1" width="68.88671875" bestFit="1" customWidth="1"/>
    <col min="2" max="2" width="17.6640625" bestFit="1" customWidth="1"/>
  </cols>
  <sheetData>
    <row r="3" spans="1:2" x14ac:dyDescent="0.3">
      <c r="A3" s="10" t="s">
        <v>339</v>
      </c>
      <c r="B3" t="s">
        <v>360</v>
      </c>
    </row>
    <row r="4" spans="1:2" x14ac:dyDescent="0.3">
      <c r="A4" s="11" t="s">
        <v>71</v>
      </c>
      <c r="B4" s="3">
        <v>0.53</v>
      </c>
    </row>
    <row r="5" spans="1:2" x14ac:dyDescent="0.3">
      <c r="A5" s="11" t="s">
        <v>190</v>
      </c>
      <c r="B5" s="3">
        <v>0.55000000000000004</v>
      </c>
    </row>
    <row r="6" spans="1:2" x14ac:dyDescent="0.3">
      <c r="A6" s="11" t="s">
        <v>316</v>
      </c>
      <c r="B6" s="3">
        <v>0.64</v>
      </c>
    </row>
    <row r="7" spans="1:2" x14ac:dyDescent="0.3">
      <c r="A7" s="11" t="s">
        <v>120</v>
      </c>
      <c r="B7" s="3">
        <v>0.53</v>
      </c>
    </row>
    <row r="8" spans="1:2" x14ac:dyDescent="0.3">
      <c r="A8" s="11" t="s">
        <v>154</v>
      </c>
      <c r="B8" s="3">
        <v>0.61</v>
      </c>
    </row>
    <row r="9" spans="1:2" x14ac:dyDescent="0.3">
      <c r="A9" s="11" t="s">
        <v>102</v>
      </c>
      <c r="B9" s="3">
        <v>0.52</v>
      </c>
    </row>
    <row r="10" spans="1:2" x14ac:dyDescent="0.3">
      <c r="A10" s="11" t="s">
        <v>198</v>
      </c>
      <c r="B10" s="3">
        <v>0.52</v>
      </c>
    </row>
    <row r="11" spans="1:2" x14ac:dyDescent="0.3">
      <c r="A11" s="11" t="s">
        <v>85</v>
      </c>
      <c r="B11" s="3">
        <v>0.54</v>
      </c>
    </row>
    <row r="12" spans="1:2" x14ac:dyDescent="0.3">
      <c r="A12" s="11" t="s">
        <v>35</v>
      </c>
      <c r="B12" s="3">
        <v>0.55000000000000004</v>
      </c>
    </row>
    <row r="13" spans="1:2" x14ac:dyDescent="0.3">
      <c r="A13" s="11" t="s">
        <v>186</v>
      </c>
      <c r="B13" s="3">
        <v>0.54</v>
      </c>
    </row>
    <row r="14" spans="1:2" x14ac:dyDescent="0.3">
      <c r="A14" s="11" t="s">
        <v>170</v>
      </c>
      <c r="B14" s="3">
        <v>0.55000000000000004</v>
      </c>
    </row>
    <row r="15" spans="1:2" x14ac:dyDescent="0.3">
      <c r="A15" s="11" t="s">
        <v>344</v>
      </c>
      <c r="B15" s="3">
        <v>0.64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5AAB9-45A7-4F86-875F-AE1C08AA3767}">
  <dimension ref="A3:B14"/>
  <sheetViews>
    <sheetView workbookViewId="0">
      <selection activeCell="A4" sqref="A4"/>
    </sheetView>
  </sheetViews>
  <sheetFormatPr defaultRowHeight="14.4" x14ac:dyDescent="0.3"/>
  <cols>
    <col min="1" max="1" width="61" bestFit="1" customWidth="1"/>
    <col min="2" max="2" width="13.5546875" bestFit="1" customWidth="1"/>
  </cols>
  <sheetData>
    <row r="3" spans="1:2" x14ac:dyDescent="0.3">
      <c r="A3" s="10" t="s">
        <v>339</v>
      </c>
      <c r="B3" t="s">
        <v>361</v>
      </c>
    </row>
    <row r="4" spans="1:2" x14ac:dyDescent="0.3">
      <c r="A4" s="11" t="s">
        <v>44</v>
      </c>
      <c r="B4" s="2">
        <v>39</v>
      </c>
    </row>
    <row r="5" spans="1:2" x14ac:dyDescent="0.3">
      <c r="A5" s="11" t="s">
        <v>194</v>
      </c>
      <c r="B5" s="2">
        <v>69</v>
      </c>
    </row>
    <row r="6" spans="1:2" x14ac:dyDescent="0.3">
      <c r="A6" s="11" t="s">
        <v>30</v>
      </c>
      <c r="B6" s="2">
        <v>55</v>
      </c>
    </row>
    <row r="7" spans="1:2" x14ac:dyDescent="0.3">
      <c r="A7" s="11" t="s">
        <v>68</v>
      </c>
      <c r="B7" s="2">
        <v>44</v>
      </c>
    </row>
    <row r="8" spans="1:2" x14ac:dyDescent="0.3">
      <c r="A8" s="11" t="s">
        <v>97</v>
      </c>
      <c r="B8" s="2">
        <v>20</v>
      </c>
    </row>
    <row r="9" spans="1:2" x14ac:dyDescent="0.3">
      <c r="A9" s="11" t="s">
        <v>114</v>
      </c>
      <c r="B9" s="2">
        <v>32</v>
      </c>
    </row>
    <row r="10" spans="1:2" x14ac:dyDescent="0.3">
      <c r="A10" s="11" t="s">
        <v>111</v>
      </c>
      <c r="B10" s="2">
        <v>20</v>
      </c>
    </row>
    <row r="11" spans="1:2" x14ac:dyDescent="0.3">
      <c r="A11" s="11" t="s">
        <v>89</v>
      </c>
      <c r="B11" s="2">
        <v>49</v>
      </c>
    </row>
    <row r="12" spans="1:2" x14ac:dyDescent="0.3">
      <c r="A12" s="11" t="s">
        <v>14</v>
      </c>
      <c r="B12" s="2">
        <v>24</v>
      </c>
    </row>
    <row r="13" spans="1:2" x14ac:dyDescent="0.3">
      <c r="A13" s="11" t="s">
        <v>122</v>
      </c>
      <c r="B13" s="2">
        <v>36</v>
      </c>
    </row>
    <row r="14" spans="1:2" x14ac:dyDescent="0.3">
      <c r="A14" s="11" t="s">
        <v>344</v>
      </c>
      <c r="B14" s="2">
        <v>388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51BA4-7461-48E5-BF66-5C5BD01915F2}">
  <dimension ref="A3:C7"/>
  <sheetViews>
    <sheetView workbookViewId="0">
      <selection activeCell="C6" sqref="C6"/>
    </sheetView>
  </sheetViews>
  <sheetFormatPr defaultRowHeight="14.4" x14ac:dyDescent="0.3"/>
  <cols>
    <col min="1" max="1" width="15.33203125" bestFit="1" customWidth="1"/>
    <col min="2" max="2" width="16.77734375" bestFit="1" customWidth="1"/>
    <col min="3" max="3" width="16.6640625" bestFit="1" customWidth="1"/>
  </cols>
  <sheetData>
    <row r="3" spans="1:3" x14ac:dyDescent="0.3">
      <c r="A3" s="10" t="s">
        <v>339</v>
      </c>
      <c r="B3" t="s">
        <v>346</v>
      </c>
      <c r="C3" t="s">
        <v>362</v>
      </c>
    </row>
    <row r="4" spans="1:3" x14ac:dyDescent="0.3">
      <c r="A4" s="11" t="s">
        <v>350</v>
      </c>
      <c r="B4" s="4">
        <v>1.7483870967741932</v>
      </c>
      <c r="C4" s="2">
        <v>5.387096774193548</v>
      </c>
    </row>
    <row r="5" spans="1:3" x14ac:dyDescent="0.3">
      <c r="A5" s="11" t="s">
        <v>351</v>
      </c>
      <c r="B5" s="4">
        <v>0.82777777777777772</v>
      </c>
      <c r="C5" s="2">
        <v>2.1111111111111112</v>
      </c>
    </row>
    <row r="6" spans="1:3" x14ac:dyDescent="0.3">
      <c r="A6" s="11" t="s">
        <v>349</v>
      </c>
      <c r="B6" s="4">
        <v>3.0750000000000006</v>
      </c>
      <c r="C6" s="2">
        <v>10.96875</v>
      </c>
    </row>
    <row r="7" spans="1:3" x14ac:dyDescent="0.3">
      <c r="A7" s="11" t="s">
        <v>344</v>
      </c>
      <c r="B7" s="4">
        <v>1.979464285714285</v>
      </c>
      <c r="C7" s="2">
        <v>6.4553571428571432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F55BB-3B6D-4911-A2FC-68F1BF1E00EE}">
  <dimension ref="A3:B14"/>
  <sheetViews>
    <sheetView workbookViewId="0">
      <selection activeCell="B24" sqref="B24"/>
    </sheetView>
  </sheetViews>
  <sheetFormatPr defaultRowHeight="14.4" x14ac:dyDescent="0.3"/>
  <cols>
    <col min="1" max="1" width="61" bestFit="1" customWidth="1"/>
    <col min="2" max="2" width="16.6640625" bestFit="1" customWidth="1"/>
  </cols>
  <sheetData>
    <row r="3" spans="1:2" x14ac:dyDescent="0.3">
      <c r="A3" s="10" t="s">
        <v>339</v>
      </c>
      <c r="B3" t="s">
        <v>362</v>
      </c>
    </row>
    <row r="4" spans="1:2" x14ac:dyDescent="0.3">
      <c r="A4" s="11" t="s">
        <v>44</v>
      </c>
      <c r="B4" s="2">
        <v>39</v>
      </c>
    </row>
    <row r="5" spans="1:2" x14ac:dyDescent="0.3">
      <c r="A5" s="11" t="s">
        <v>194</v>
      </c>
      <c r="B5" s="2">
        <v>69</v>
      </c>
    </row>
    <row r="6" spans="1:2" x14ac:dyDescent="0.3">
      <c r="A6" s="11" t="s">
        <v>30</v>
      </c>
      <c r="B6" s="2">
        <v>55</v>
      </c>
    </row>
    <row r="7" spans="1:2" x14ac:dyDescent="0.3">
      <c r="A7" s="11" t="s">
        <v>68</v>
      </c>
      <c r="B7" s="2">
        <v>44</v>
      </c>
    </row>
    <row r="8" spans="1:2" x14ac:dyDescent="0.3">
      <c r="A8" s="11" t="s">
        <v>97</v>
      </c>
      <c r="B8" s="2">
        <v>20</v>
      </c>
    </row>
    <row r="9" spans="1:2" x14ac:dyDescent="0.3">
      <c r="A9" s="11" t="s">
        <v>114</v>
      </c>
      <c r="B9" s="2">
        <v>32</v>
      </c>
    </row>
    <row r="10" spans="1:2" x14ac:dyDescent="0.3">
      <c r="A10" s="11" t="s">
        <v>111</v>
      </c>
      <c r="B10" s="2">
        <v>20</v>
      </c>
    </row>
    <row r="11" spans="1:2" x14ac:dyDescent="0.3">
      <c r="A11" s="11" t="s">
        <v>89</v>
      </c>
      <c r="B11" s="2">
        <v>49</v>
      </c>
    </row>
    <row r="12" spans="1:2" x14ac:dyDescent="0.3">
      <c r="A12" s="11" t="s">
        <v>14</v>
      </c>
      <c r="B12" s="2">
        <v>24</v>
      </c>
    </row>
    <row r="13" spans="1:2" x14ac:dyDescent="0.3">
      <c r="A13" s="11" t="s">
        <v>122</v>
      </c>
      <c r="B13" s="2">
        <v>36</v>
      </c>
    </row>
    <row r="14" spans="1:2" x14ac:dyDescent="0.3">
      <c r="A14" s="11" t="s">
        <v>344</v>
      </c>
      <c r="B14" s="2">
        <v>38.799999999999997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6B6A9-C9C8-47AB-B181-4471AF19901F}">
  <dimension ref="A1:K113"/>
  <sheetViews>
    <sheetView topLeftCell="B1" workbookViewId="0">
      <pane ySplit="1" topLeftCell="A90" activePane="bottomLeft" state="frozen"/>
      <selection pane="bottomLeft" activeCell="A9" sqref="A9"/>
    </sheetView>
  </sheetViews>
  <sheetFormatPr defaultRowHeight="14.4" x14ac:dyDescent="0.3"/>
  <cols>
    <col min="1" max="1" width="87.88671875" style="9" bestFit="1" customWidth="1"/>
    <col min="2" max="2" width="16.44140625" bestFit="1" customWidth="1"/>
    <col min="3" max="3" width="15.6640625" style="2" bestFit="1" customWidth="1"/>
    <col min="4" max="4" width="12.33203125" style="2" bestFit="1" customWidth="1"/>
    <col min="5" max="5" width="23.77734375" style="2" bestFit="1" customWidth="1"/>
    <col min="6" max="6" width="10.6640625" style="3" bestFit="1" customWidth="1"/>
    <col min="7" max="7" width="15.77734375" style="3" bestFit="1" customWidth="1"/>
    <col min="8" max="8" width="6.88671875" style="2" bestFit="1" customWidth="1"/>
    <col min="9" max="9" width="10.44140625" style="3" bestFit="1" customWidth="1"/>
    <col min="10" max="10" width="6.88671875" style="4" bestFit="1" customWidth="1"/>
    <col min="11" max="11" width="14.5546875" bestFit="1" customWidth="1"/>
  </cols>
  <sheetData>
    <row r="1" spans="1:11" s="5" customFormat="1" x14ac:dyDescent="0.3">
      <c r="A1" s="12" t="s">
        <v>323</v>
      </c>
      <c r="B1" s="5" t="s">
        <v>347</v>
      </c>
      <c r="C1" s="6" t="s">
        <v>330</v>
      </c>
      <c r="D1" s="6" t="s">
        <v>331</v>
      </c>
      <c r="E1" s="6" t="s">
        <v>332</v>
      </c>
      <c r="F1" s="7" t="s">
        <v>324</v>
      </c>
      <c r="G1" s="7" t="s">
        <v>334</v>
      </c>
      <c r="H1" s="6" t="s">
        <v>4</v>
      </c>
      <c r="I1" s="7" t="s">
        <v>5</v>
      </c>
      <c r="J1" s="8" t="s">
        <v>326</v>
      </c>
      <c r="K1" s="5" t="s">
        <v>333</v>
      </c>
    </row>
    <row r="2" spans="1:11" x14ac:dyDescent="0.3">
      <c r="A2" s="9" t="s">
        <v>6</v>
      </c>
      <c r="B2" t="str">
        <f>IF(ISNUMBER(SEARCH("vacuum",A2)),"Home Appliances",
 IF(ISNUMBER(SEARCH("humidifier",A2)),"Home Appliances",
 IF(ISNUMBER(SEARCH("fan",A2)),"Home Appliances",
 IF(ISNUMBER(SEARCH("lamp",A2)),"Home Appliances",
 IF(ISNUMBER(SEARCH("hook",A2)),"Home Decor",
 IF(ISNUMBER(SEARCH("hanger",A2)),"Home Decor",
 IF(ISNUMBER(SEARCH("curtain",A2)),"Home Decor",
 IF(ISNUMBER(SEARCH("flower",A2)),"Home Decor",
 IF(ISNUMBER(SEARCH("sticker",A2)),"Home Decor",
 IF(ISNUMBER(SEARCH("tool",A2)),"Tools &amp; Equipment",
 IF(ISNUMBER(SEARCH("set",A2)),"Tools &amp; Equipment",
 IF(ISNUMBER(SEARCH("caliper",A2)),"Tools &amp; Equipment",
 IF(ISNUMBER(SEARCH("scale",A2)),"Tools &amp; Equipment",
 IF(ISNUMBER(SEARCH("knife",A2)),"Tools &amp; Equipment",
 IF(ISNUMBER(SEARCH("bag",A2)),"Bags &amp; Storage",
 IF(ISNUMBER(SEARCH("storage",A2)),"Bags &amp; Storage",
 IF(ISNUMBER(SEARCH("holder",A2)),"Bags &amp; Storage",
 "Other")))))))))))))))))</f>
        <v>Tools &amp; Equipment</v>
      </c>
      <c r="C2" s="2">
        <v>950</v>
      </c>
      <c r="D2" s="2">
        <v>1525</v>
      </c>
      <c r="E2" s="2">
        <f>D2-C2</f>
        <v>575</v>
      </c>
      <c r="F2" s="3">
        <v>0.38</v>
      </c>
      <c r="G2" s="3" t="str">
        <f t="shared" ref="G2:G33" si="0">IF(F2&lt;0.2,"Low Discount",IF(F2&lt;=0.4,"Medium Discount","High Discount"))</f>
        <v>Medium Discount</v>
      </c>
      <c r="H2" s="2">
        <v>2</v>
      </c>
      <c r="I2" s="3" t="s">
        <v>9</v>
      </c>
      <c r="J2" s="4">
        <f t="shared" ref="J2:J33" si="1">VALUE(SUBSTITUTE(I2,"out of 5",""))</f>
        <v>4.5</v>
      </c>
      <c r="K2" t="str">
        <f>IF(J2&lt;3,"Poor",IF(J2&lt;4.5,"Average","Excellent"))</f>
        <v>Excellent</v>
      </c>
    </row>
    <row r="3" spans="1:11" x14ac:dyDescent="0.3">
      <c r="A3" s="9" t="s">
        <v>10</v>
      </c>
      <c r="B3" t="str">
        <f t="shared" ref="B3:B66" si="2">IF(ISNUMBER(SEARCH("vacuum",A3)),"Home Appliances",
 IF(ISNUMBER(SEARCH("humidifier",A3)),"Home Appliances",
 IF(ISNUMBER(SEARCH("fan",A3)),"Home Appliances",
 IF(ISNUMBER(SEARCH("lamp",A3)),"Home Appliances",
 IF(ISNUMBER(SEARCH("hook",A3)),"Home Decor",
 IF(ISNUMBER(SEARCH("hanger",A3)),"Home Decor",
 IF(ISNUMBER(SEARCH("curtain",A3)),"Home Decor",
 IF(ISNUMBER(SEARCH("flower",A3)),"Home Decor",
 IF(ISNUMBER(SEARCH("sticker",A3)),"Home Decor",
 IF(ISNUMBER(SEARCH("tool",A3)),"Tools &amp; Equipment",
 IF(ISNUMBER(SEARCH("set",A3)),"Tools &amp; Equipment",
 IF(ISNUMBER(SEARCH("caliper",A3)),"Tools &amp; Equipment",
 IF(ISNUMBER(SEARCH("scale",A3)),"Tools &amp; Equipment",
 IF(ISNUMBER(SEARCH("knife",A3)),"Tools &amp; Equipment",
 IF(ISNUMBER(SEARCH("bag",A3)),"Bags &amp; Storage",
 IF(ISNUMBER(SEARCH("storage",A3)),"Bags &amp; Storage",
 IF(ISNUMBER(SEARCH("holder",A3)),"Bags &amp; Storage",
 "Other")))))))))))))))))</f>
        <v>Home Decor</v>
      </c>
      <c r="C3" s="2">
        <v>527</v>
      </c>
      <c r="D3" s="2">
        <v>999</v>
      </c>
      <c r="E3" s="2">
        <f t="shared" ref="E3:E66" si="3">D3-C3</f>
        <v>472</v>
      </c>
      <c r="F3" s="3">
        <v>0.47</v>
      </c>
      <c r="G3" s="3" t="str">
        <f t="shared" si="0"/>
        <v>High Discount</v>
      </c>
      <c r="H3" s="2">
        <v>14</v>
      </c>
      <c r="I3" s="3" t="s">
        <v>13</v>
      </c>
      <c r="J3" s="4">
        <f t="shared" si="1"/>
        <v>4.0999999999999996</v>
      </c>
      <c r="K3" t="str">
        <f t="shared" ref="K3:K66" si="4">IF(J3&lt;3,"Poor",IF(J3&lt;4.5,"Average","Excellent"))</f>
        <v>Average</v>
      </c>
    </row>
    <row r="4" spans="1:11" x14ac:dyDescent="0.3">
      <c r="A4" s="9" t="s">
        <v>14</v>
      </c>
      <c r="B4" t="str">
        <f t="shared" si="2"/>
        <v>Home Appliances</v>
      </c>
      <c r="C4" s="2">
        <v>2199</v>
      </c>
      <c r="D4" s="2">
        <v>2923</v>
      </c>
      <c r="E4" s="2">
        <f t="shared" si="3"/>
        <v>724</v>
      </c>
      <c r="F4" s="3">
        <v>0.25</v>
      </c>
      <c r="G4" s="3" t="str">
        <f t="shared" si="0"/>
        <v>Medium Discount</v>
      </c>
      <c r="H4" s="2">
        <v>24</v>
      </c>
      <c r="I4" s="3" t="s">
        <v>17</v>
      </c>
      <c r="J4" s="4">
        <f t="shared" si="1"/>
        <v>4.5999999999999996</v>
      </c>
      <c r="K4" t="str">
        <f t="shared" si="4"/>
        <v>Excellent</v>
      </c>
    </row>
    <row r="5" spans="1:11" x14ac:dyDescent="0.3">
      <c r="A5" s="9" t="s">
        <v>18</v>
      </c>
      <c r="B5" t="str">
        <f t="shared" si="2"/>
        <v>Tools &amp; Equipment</v>
      </c>
      <c r="C5" s="2">
        <v>1580</v>
      </c>
      <c r="D5" s="2">
        <v>2499</v>
      </c>
      <c r="E5" s="2">
        <f t="shared" si="3"/>
        <v>919</v>
      </c>
      <c r="F5" s="3">
        <v>0.37</v>
      </c>
      <c r="G5" s="3" t="str">
        <f t="shared" si="0"/>
        <v>Medium Discount</v>
      </c>
      <c r="H5" s="2">
        <v>7</v>
      </c>
      <c r="I5" s="3" t="s">
        <v>21</v>
      </c>
      <c r="J5" s="4">
        <f t="shared" si="1"/>
        <v>4.7</v>
      </c>
      <c r="K5" t="str">
        <f t="shared" si="4"/>
        <v>Excellent</v>
      </c>
    </row>
    <row r="6" spans="1:11" x14ac:dyDescent="0.3">
      <c r="A6" s="9" t="s">
        <v>22</v>
      </c>
      <c r="B6" t="str">
        <f t="shared" si="2"/>
        <v>Home Appliances</v>
      </c>
      <c r="C6" s="2">
        <v>1740</v>
      </c>
      <c r="D6" s="2">
        <v>2356</v>
      </c>
      <c r="E6" s="2">
        <f t="shared" si="3"/>
        <v>616</v>
      </c>
      <c r="F6" s="3">
        <v>0.26</v>
      </c>
      <c r="G6" s="3" t="str">
        <f t="shared" si="0"/>
        <v>Medium Discount</v>
      </c>
      <c r="H6" s="2">
        <v>5</v>
      </c>
      <c r="I6" s="3" t="s">
        <v>25</v>
      </c>
      <c r="J6" s="4">
        <f t="shared" si="1"/>
        <v>4.8</v>
      </c>
      <c r="K6" t="str">
        <f t="shared" si="4"/>
        <v>Excellent</v>
      </c>
    </row>
    <row r="7" spans="1:11" x14ac:dyDescent="0.3">
      <c r="A7" s="9" t="s">
        <v>26</v>
      </c>
      <c r="B7" t="str">
        <f t="shared" si="2"/>
        <v>Tools &amp; Equipment</v>
      </c>
      <c r="C7" s="2">
        <v>2999</v>
      </c>
      <c r="D7" s="2">
        <v>3290</v>
      </c>
      <c r="E7" s="2">
        <f t="shared" si="3"/>
        <v>291</v>
      </c>
      <c r="F7" s="3">
        <v>0.09</v>
      </c>
      <c r="G7" s="3" t="str">
        <f t="shared" si="0"/>
        <v>Low Discount</v>
      </c>
      <c r="H7" s="2">
        <v>15</v>
      </c>
      <c r="I7" s="3" t="s">
        <v>29</v>
      </c>
      <c r="J7" s="4">
        <f t="shared" si="1"/>
        <v>4</v>
      </c>
      <c r="K7" t="str">
        <f t="shared" si="4"/>
        <v>Average</v>
      </c>
    </row>
    <row r="8" spans="1:11" x14ac:dyDescent="0.3">
      <c r="A8" s="9" t="s">
        <v>30</v>
      </c>
      <c r="B8" t="str">
        <f t="shared" si="2"/>
        <v>Tools &amp; Equipment</v>
      </c>
      <c r="C8" s="2">
        <v>2319</v>
      </c>
      <c r="D8" s="2">
        <v>3032</v>
      </c>
      <c r="E8" s="2">
        <f t="shared" si="3"/>
        <v>713</v>
      </c>
      <c r="F8" s="3">
        <v>0.24</v>
      </c>
      <c r="G8" s="3" t="str">
        <f t="shared" si="0"/>
        <v>Medium Discount</v>
      </c>
      <c r="H8" s="2">
        <v>55</v>
      </c>
      <c r="I8" s="3" t="s">
        <v>17</v>
      </c>
      <c r="J8" s="4">
        <f t="shared" si="1"/>
        <v>4.5999999999999996</v>
      </c>
      <c r="K8" t="str">
        <f t="shared" si="4"/>
        <v>Excellent</v>
      </c>
    </row>
    <row r="9" spans="1:11" x14ac:dyDescent="0.3">
      <c r="A9" s="9" t="s">
        <v>33</v>
      </c>
      <c r="B9" t="str">
        <f t="shared" si="2"/>
        <v>Home Appliances</v>
      </c>
      <c r="C9" s="2">
        <v>988</v>
      </c>
      <c r="D9" s="2">
        <v>1580</v>
      </c>
      <c r="E9" s="2">
        <f t="shared" si="3"/>
        <v>592</v>
      </c>
      <c r="F9" s="3">
        <v>0.37</v>
      </c>
      <c r="G9" s="3" t="str">
        <f t="shared" si="0"/>
        <v>Medium Discount</v>
      </c>
      <c r="H9" s="2">
        <v>2</v>
      </c>
      <c r="I9" s="3" t="s">
        <v>29</v>
      </c>
      <c r="J9" s="4">
        <f t="shared" si="1"/>
        <v>4</v>
      </c>
      <c r="K9" t="str">
        <f t="shared" si="4"/>
        <v>Average</v>
      </c>
    </row>
    <row r="10" spans="1:11" x14ac:dyDescent="0.3">
      <c r="A10" s="9" t="s">
        <v>35</v>
      </c>
      <c r="B10" t="str">
        <f t="shared" si="2"/>
        <v>Other</v>
      </c>
      <c r="C10" s="2">
        <v>1274</v>
      </c>
      <c r="D10" s="2">
        <v>2800</v>
      </c>
      <c r="E10" s="2">
        <f t="shared" si="3"/>
        <v>1526</v>
      </c>
      <c r="F10" s="3">
        <v>0.55000000000000004</v>
      </c>
      <c r="G10" s="3" t="str">
        <f t="shared" si="0"/>
        <v>High Discount</v>
      </c>
      <c r="H10" s="2">
        <v>5</v>
      </c>
      <c r="I10" s="3" t="s">
        <v>25</v>
      </c>
      <c r="J10" s="4">
        <f t="shared" si="1"/>
        <v>4.8</v>
      </c>
      <c r="K10" t="str">
        <f t="shared" si="4"/>
        <v>Excellent</v>
      </c>
    </row>
    <row r="11" spans="1:11" x14ac:dyDescent="0.3">
      <c r="A11" s="9" t="s">
        <v>38</v>
      </c>
      <c r="B11" t="str">
        <f t="shared" si="2"/>
        <v>Tools &amp; Equipment</v>
      </c>
      <c r="C11" s="2">
        <v>1600</v>
      </c>
      <c r="D11" s="2">
        <v>2929</v>
      </c>
      <c r="E11" s="2">
        <f t="shared" si="3"/>
        <v>1329</v>
      </c>
      <c r="F11" s="3">
        <v>0.45</v>
      </c>
      <c r="G11" s="3" t="str">
        <f t="shared" si="0"/>
        <v>High Discount</v>
      </c>
      <c r="H11" s="2">
        <v>5</v>
      </c>
      <c r="I11" s="3" t="s">
        <v>41</v>
      </c>
      <c r="J11" s="4">
        <f t="shared" si="1"/>
        <v>3.8</v>
      </c>
      <c r="K11" t="str">
        <f t="shared" si="4"/>
        <v>Average</v>
      </c>
    </row>
    <row r="12" spans="1:11" x14ac:dyDescent="0.3">
      <c r="A12" s="9" t="s">
        <v>42</v>
      </c>
      <c r="B12" t="str">
        <f t="shared" si="2"/>
        <v>Tools &amp; Equipment</v>
      </c>
      <c r="C12" s="2">
        <v>799</v>
      </c>
      <c r="D12" s="2">
        <v>999</v>
      </c>
      <c r="E12" s="2">
        <f t="shared" si="3"/>
        <v>200</v>
      </c>
      <c r="F12" s="3">
        <v>0.2</v>
      </c>
      <c r="G12" s="3" t="str">
        <f t="shared" si="0"/>
        <v>Medium Discount</v>
      </c>
      <c r="H12" s="2">
        <v>12</v>
      </c>
      <c r="I12" s="3" t="s">
        <v>13</v>
      </c>
      <c r="J12" s="4">
        <f t="shared" si="1"/>
        <v>4.0999999999999996</v>
      </c>
      <c r="K12" t="str">
        <f t="shared" si="4"/>
        <v>Average</v>
      </c>
    </row>
    <row r="13" spans="1:11" x14ac:dyDescent="0.3">
      <c r="A13" s="9" t="s">
        <v>44</v>
      </c>
      <c r="B13" t="str">
        <f t="shared" si="2"/>
        <v>Home Decor</v>
      </c>
      <c r="C13" s="2">
        <v>990</v>
      </c>
      <c r="D13" s="2">
        <v>1500</v>
      </c>
      <c r="E13" s="2">
        <f t="shared" si="3"/>
        <v>510</v>
      </c>
      <c r="F13" s="3">
        <v>0.34</v>
      </c>
      <c r="G13" s="3" t="str">
        <f t="shared" si="0"/>
        <v>Medium Discount</v>
      </c>
      <c r="H13" s="2">
        <v>39</v>
      </c>
      <c r="I13" s="3" t="s">
        <v>21</v>
      </c>
      <c r="J13" s="4">
        <f t="shared" si="1"/>
        <v>4.7</v>
      </c>
      <c r="K13" t="str">
        <f t="shared" si="4"/>
        <v>Excellent</v>
      </c>
    </row>
    <row r="14" spans="1:11" x14ac:dyDescent="0.3">
      <c r="A14" s="9" t="s">
        <v>47</v>
      </c>
      <c r="B14" t="str">
        <f t="shared" si="2"/>
        <v>Home Decor</v>
      </c>
      <c r="C14" s="2">
        <v>552</v>
      </c>
      <c r="D14" s="2">
        <v>1035</v>
      </c>
      <c r="E14" s="2">
        <f t="shared" si="3"/>
        <v>483</v>
      </c>
      <c r="F14" s="3">
        <v>0.47</v>
      </c>
      <c r="G14" s="3" t="str">
        <f t="shared" si="0"/>
        <v>High Discount</v>
      </c>
      <c r="H14" s="2">
        <v>12</v>
      </c>
      <c r="I14" s="3" t="s">
        <v>25</v>
      </c>
      <c r="J14" s="4">
        <f t="shared" si="1"/>
        <v>4.8</v>
      </c>
      <c r="K14" t="str">
        <f t="shared" si="4"/>
        <v>Excellent</v>
      </c>
    </row>
    <row r="15" spans="1:11" x14ac:dyDescent="0.3">
      <c r="A15" s="9" t="s">
        <v>50</v>
      </c>
      <c r="B15" t="str">
        <f t="shared" si="2"/>
        <v>Other</v>
      </c>
      <c r="C15" s="2">
        <v>501</v>
      </c>
      <c r="D15" s="2">
        <v>860</v>
      </c>
      <c r="E15" s="2">
        <f t="shared" si="3"/>
        <v>359</v>
      </c>
      <c r="F15" s="3">
        <v>0.42</v>
      </c>
      <c r="G15" s="3" t="str">
        <f t="shared" si="0"/>
        <v>High Discount</v>
      </c>
      <c r="H15" s="2">
        <v>6</v>
      </c>
      <c r="I15" s="3" t="s">
        <v>9</v>
      </c>
      <c r="J15" s="4">
        <f t="shared" si="1"/>
        <v>4.5</v>
      </c>
      <c r="K15" t="str">
        <f t="shared" si="4"/>
        <v>Excellent</v>
      </c>
    </row>
    <row r="16" spans="1:11" x14ac:dyDescent="0.3">
      <c r="A16" s="9" t="s">
        <v>53</v>
      </c>
      <c r="B16" t="str">
        <f t="shared" si="2"/>
        <v>Other</v>
      </c>
      <c r="C16" s="2">
        <v>1680</v>
      </c>
      <c r="D16" s="2">
        <v>2499</v>
      </c>
      <c r="E16" s="2">
        <f t="shared" si="3"/>
        <v>819</v>
      </c>
      <c r="F16" s="3">
        <v>0.33</v>
      </c>
      <c r="G16" s="3" t="str">
        <f t="shared" si="0"/>
        <v>Medium Discount</v>
      </c>
      <c r="H16" s="2">
        <v>9</v>
      </c>
      <c r="I16" s="3" t="s">
        <v>55</v>
      </c>
      <c r="J16" s="4">
        <f t="shared" si="1"/>
        <v>4.2</v>
      </c>
      <c r="K16" t="str">
        <f t="shared" si="4"/>
        <v>Average</v>
      </c>
    </row>
    <row r="17" spans="1:11" x14ac:dyDescent="0.3">
      <c r="A17" s="9" t="s">
        <v>56</v>
      </c>
      <c r="B17" t="str">
        <f t="shared" si="2"/>
        <v>Other</v>
      </c>
      <c r="C17" s="2">
        <v>332</v>
      </c>
      <c r="D17" s="2">
        <v>684</v>
      </c>
      <c r="E17" s="2">
        <f t="shared" si="3"/>
        <v>352</v>
      </c>
      <c r="F17" s="3">
        <v>0.51</v>
      </c>
      <c r="G17" s="3" t="str">
        <f t="shared" si="0"/>
        <v>High Discount</v>
      </c>
      <c r="H17" s="2">
        <v>2</v>
      </c>
      <c r="I17" s="3" t="s">
        <v>59</v>
      </c>
      <c r="J17" s="4">
        <f t="shared" si="1"/>
        <v>5</v>
      </c>
      <c r="K17" t="str">
        <f t="shared" si="4"/>
        <v>Excellent</v>
      </c>
    </row>
    <row r="18" spans="1:11" x14ac:dyDescent="0.3">
      <c r="A18" s="9" t="s">
        <v>60</v>
      </c>
      <c r="B18" t="str">
        <f t="shared" si="2"/>
        <v>Other</v>
      </c>
      <c r="C18" s="2">
        <v>195</v>
      </c>
      <c r="D18" s="2">
        <v>360</v>
      </c>
      <c r="E18" s="2">
        <f t="shared" si="3"/>
        <v>165</v>
      </c>
      <c r="F18" s="3">
        <v>0.46</v>
      </c>
      <c r="G18" s="3" t="str">
        <f t="shared" si="0"/>
        <v>High Discount</v>
      </c>
      <c r="H18" s="2">
        <v>2</v>
      </c>
      <c r="I18" s="3" t="s">
        <v>59</v>
      </c>
      <c r="J18" s="4">
        <f t="shared" si="1"/>
        <v>5</v>
      </c>
      <c r="K18" t="str">
        <f t="shared" si="4"/>
        <v>Excellent</v>
      </c>
    </row>
    <row r="19" spans="1:11" x14ac:dyDescent="0.3">
      <c r="A19" s="9" t="s">
        <v>63</v>
      </c>
      <c r="B19" t="str">
        <f t="shared" si="2"/>
        <v>Other</v>
      </c>
      <c r="C19" s="2">
        <v>2025</v>
      </c>
      <c r="D19" s="2">
        <v>3971</v>
      </c>
      <c r="E19" s="2">
        <f t="shared" si="3"/>
        <v>1946</v>
      </c>
      <c r="F19" s="3">
        <v>0.49</v>
      </c>
      <c r="G19" s="3" t="str">
        <f t="shared" si="0"/>
        <v>High Discount</v>
      </c>
      <c r="H19" s="2">
        <v>3</v>
      </c>
      <c r="I19" s="3" t="s">
        <v>59</v>
      </c>
      <c r="J19" s="4">
        <f t="shared" si="1"/>
        <v>5</v>
      </c>
      <c r="K19" t="str">
        <f t="shared" si="4"/>
        <v>Excellent</v>
      </c>
    </row>
    <row r="20" spans="1:11" x14ac:dyDescent="0.3">
      <c r="A20" s="9" t="s">
        <v>66</v>
      </c>
      <c r="B20" t="str">
        <f t="shared" si="2"/>
        <v>Other</v>
      </c>
      <c r="C20" s="2">
        <v>2999</v>
      </c>
      <c r="D20" s="2">
        <v>3699</v>
      </c>
      <c r="E20" s="2">
        <f t="shared" si="3"/>
        <v>700</v>
      </c>
      <c r="F20" s="3">
        <v>0.19</v>
      </c>
      <c r="G20" s="3" t="str">
        <f t="shared" si="0"/>
        <v>Low Discount</v>
      </c>
      <c r="H20" s="2">
        <v>5</v>
      </c>
      <c r="I20" s="3" t="s">
        <v>17</v>
      </c>
      <c r="J20" s="4">
        <f t="shared" si="1"/>
        <v>4.5999999999999996</v>
      </c>
      <c r="K20" t="str">
        <f t="shared" si="4"/>
        <v>Excellent</v>
      </c>
    </row>
    <row r="21" spans="1:11" x14ac:dyDescent="0.3">
      <c r="A21" s="9" t="s">
        <v>68</v>
      </c>
      <c r="B21" t="str">
        <f t="shared" si="2"/>
        <v>Home Decor</v>
      </c>
      <c r="C21" s="2">
        <v>998</v>
      </c>
      <c r="D21" s="2">
        <v>1966</v>
      </c>
      <c r="E21" s="2">
        <f t="shared" si="3"/>
        <v>968</v>
      </c>
      <c r="F21" s="3">
        <v>0.49</v>
      </c>
      <c r="G21" s="3" t="str">
        <f t="shared" si="0"/>
        <v>High Discount</v>
      </c>
      <c r="H21" s="2">
        <v>44</v>
      </c>
      <c r="I21" s="3" t="s">
        <v>17</v>
      </c>
      <c r="J21" s="4">
        <f t="shared" si="1"/>
        <v>4.5999999999999996</v>
      </c>
      <c r="K21" t="str">
        <f t="shared" si="4"/>
        <v>Excellent</v>
      </c>
    </row>
    <row r="22" spans="1:11" x14ac:dyDescent="0.3">
      <c r="A22" s="9" t="s">
        <v>71</v>
      </c>
      <c r="B22" t="str">
        <f t="shared" si="2"/>
        <v>Tools &amp; Equipment</v>
      </c>
      <c r="C22" s="2">
        <v>38</v>
      </c>
      <c r="D22" s="2">
        <v>80</v>
      </c>
      <c r="E22" s="2">
        <f t="shared" si="3"/>
        <v>42</v>
      </c>
      <c r="F22" s="3">
        <v>0.53</v>
      </c>
      <c r="G22" s="3" t="str">
        <f t="shared" si="0"/>
        <v>High Discount</v>
      </c>
      <c r="H22" s="2">
        <v>13</v>
      </c>
      <c r="I22" s="3" t="s">
        <v>74</v>
      </c>
      <c r="J22" s="4">
        <f t="shared" si="1"/>
        <v>3.3</v>
      </c>
      <c r="K22" t="str">
        <f t="shared" si="4"/>
        <v>Average</v>
      </c>
    </row>
    <row r="23" spans="1:11" x14ac:dyDescent="0.3">
      <c r="A23" s="9" t="s">
        <v>75</v>
      </c>
      <c r="B23" t="str">
        <f t="shared" si="2"/>
        <v>Home Decor</v>
      </c>
      <c r="C23" s="2">
        <v>1860</v>
      </c>
      <c r="D23" s="2">
        <v>3220</v>
      </c>
      <c r="E23" s="2">
        <f t="shared" si="3"/>
        <v>1360</v>
      </c>
      <c r="F23" s="3">
        <v>0.42</v>
      </c>
      <c r="G23" s="3" t="str">
        <f t="shared" si="0"/>
        <v>High Discount</v>
      </c>
      <c r="H23" s="2">
        <v>0</v>
      </c>
      <c r="I23" s="3" t="s">
        <v>325</v>
      </c>
      <c r="J23" s="4">
        <f t="shared" si="1"/>
        <v>0</v>
      </c>
      <c r="K23" t="str">
        <f t="shared" si="4"/>
        <v>Poor</v>
      </c>
    </row>
    <row r="24" spans="1:11" x14ac:dyDescent="0.3">
      <c r="A24" s="9" t="s">
        <v>78</v>
      </c>
      <c r="B24" t="str">
        <f t="shared" si="2"/>
        <v>Other</v>
      </c>
      <c r="C24" s="2">
        <v>880</v>
      </c>
      <c r="D24" s="2">
        <v>1350</v>
      </c>
      <c r="E24" s="2">
        <f t="shared" si="3"/>
        <v>470</v>
      </c>
      <c r="F24" s="3">
        <v>0.35</v>
      </c>
      <c r="G24" s="3" t="str">
        <f t="shared" si="0"/>
        <v>Medium Discount</v>
      </c>
      <c r="H24" s="2">
        <v>6</v>
      </c>
      <c r="I24" s="3" t="s">
        <v>29</v>
      </c>
      <c r="J24" s="4">
        <f t="shared" si="1"/>
        <v>4</v>
      </c>
      <c r="K24" t="str">
        <f t="shared" si="4"/>
        <v>Average</v>
      </c>
    </row>
    <row r="25" spans="1:11" x14ac:dyDescent="0.3">
      <c r="A25" s="9" t="s">
        <v>81</v>
      </c>
      <c r="B25" t="str">
        <f t="shared" si="2"/>
        <v>Other</v>
      </c>
      <c r="C25" s="2">
        <v>1650</v>
      </c>
      <c r="D25" s="2">
        <v>2150</v>
      </c>
      <c r="E25" s="2">
        <f t="shared" si="3"/>
        <v>500</v>
      </c>
      <c r="F25" s="3">
        <v>0.23</v>
      </c>
      <c r="G25" s="3" t="str">
        <f t="shared" si="0"/>
        <v>Medium Discount</v>
      </c>
      <c r="H25" s="2">
        <v>14</v>
      </c>
      <c r="I25" s="3" t="s">
        <v>84</v>
      </c>
      <c r="J25" s="4">
        <f t="shared" si="1"/>
        <v>4.4000000000000004</v>
      </c>
      <c r="K25" t="str">
        <f t="shared" si="4"/>
        <v>Average</v>
      </c>
    </row>
    <row r="26" spans="1:11" x14ac:dyDescent="0.3">
      <c r="A26" s="9" t="s">
        <v>85</v>
      </c>
      <c r="B26" t="str">
        <f t="shared" si="2"/>
        <v>Bags &amp; Storage</v>
      </c>
      <c r="C26" s="2">
        <v>2048</v>
      </c>
      <c r="D26" s="2">
        <v>4500</v>
      </c>
      <c r="E26" s="2">
        <f t="shared" si="3"/>
        <v>2452</v>
      </c>
      <c r="F26" s="3">
        <v>0.54</v>
      </c>
      <c r="G26" s="3" t="str">
        <f t="shared" si="0"/>
        <v>High Discount</v>
      </c>
      <c r="H26" s="2">
        <v>7</v>
      </c>
      <c r="I26" s="3" t="s">
        <v>88</v>
      </c>
      <c r="J26" s="4">
        <f t="shared" si="1"/>
        <v>4.3</v>
      </c>
      <c r="K26" t="str">
        <f t="shared" si="4"/>
        <v>Average</v>
      </c>
    </row>
    <row r="27" spans="1:11" x14ac:dyDescent="0.3">
      <c r="A27" s="9" t="s">
        <v>89</v>
      </c>
      <c r="B27" t="str">
        <f t="shared" si="2"/>
        <v>Tools &amp; Equipment</v>
      </c>
      <c r="C27" s="2">
        <v>420</v>
      </c>
      <c r="D27" s="2">
        <v>647</v>
      </c>
      <c r="E27" s="2">
        <f t="shared" si="3"/>
        <v>227</v>
      </c>
      <c r="F27" s="3">
        <v>0.35</v>
      </c>
      <c r="G27" s="3" t="str">
        <f t="shared" si="0"/>
        <v>Medium Discount</v>
      </c>
      <c r="H27" s="2">
        <v>49</v>
      </c>
      <c r="I27" s="3" t="s">
        <v>17</v>
      </c>
      <c r="J27" s="4">
        <f t="shared" si="1"/>
        <v>4.5999999999999996</v>
      </c>
      <c r="K27" t="str">
        <f t="shared" si="4"/>
        <v>Excellent</v>
      </c>
    </row>
    <row r="28" spans="1:11" x14ac:dyDescent="0.3">
      <c r="A28" s="9" t="s">
        <v>92</v>
      </c>
      <c r="B28" t="str">
        <f t="shared" si="2"/>
        <v>Bags &amp; Storage</v>
      </c>
      <c r="C28" s="2">
        <v>2880</v>
      </c>
      <c r="D28" s="2">
        <v>3520</v>
      </c>
      <c r="E28" s="2">
        <f t="shared" si="3"/>
        <v>640</v>
      </c>
      <c r="F28" s="3">
        <v>0.18</v>
      </c>
      <c r="G28" s="3" t="str">
        <f t="shared" si="0"/>
        <v>Low Discount</v>
      </c>
      <c r="H28" s="2">
        <v>12</v>
      </c>
      <c r="I28" s="3" t="s">
        <v>41</v>
      </c>
      <c r="J28" s="4">
        <f t="shared" si="1"/>
        <v>3.8</v>
      </c>
      <c r="K28" t="str">
        <f t="shared" si="4"/>
        <v>Average</v>
      </c>
    </row>
    <row r="29" spans="1:11" x14ac:dyDescent="0.3">
      <c r="A29" s="9" t="s">
        <v>95</v>
      </c>
      <c r="B29" t="str">
        <f t="shared" si="2"/>
        <v>Other</v>
      </c>
      <c r="C29" s="2">
        <v>1350</v>
      </c>
      <c r="D29" s="2">
        <v>1990</v>
      </c>
      <c r="E29" s="2">
        <f t="shared" si="3"/>
        <v>640</v>
      </c>
      <c r="F29" s="3">
        <v>0.32</v>
      </c>
      <c r="G29" s="3" t="str">
        <f t="shared" si="0"/>
        <v>Medium Discount</v>
      </c>
      <c r="H29" s="2">
        <v>13</v>
      </c>
      <c r="I29" s="3" t="s">
        <v>41</v>
      </c>
      <c r="J29" s="4">
        <f t="shared" si="1"/>
        <v>3.8</v>
      </c>
      <c r="K29" t="str">
        <f t="shared" si="4"/>
        <v>Average</v>
      </c>
    </row>
    <row r="30" spans="1:11" x14ac:dyDescent="0.3">
      <c r="A30" s="9" t="s">
        <v>97</v>
      </c>
      <c r="B30" t="str">
        <f t="shared" si="2"/>
        <v>Tools &amp; Equipment</v>
      </c>
      <c r="C30" s="2">
        <v>1758</v>
      </c>
      <c r="D30" s="2">
        <v>2499</v>
      </c>
      <c r="E30" s="2">
        <f t="shared" si="3"/>
        <v>741</v>
      </c>
      <c r="F30" s="3">
        <v>0.3</v>
      </c>
      <c r="G30" s="3" t="str">
        <f t="shared" si="0"/>
        <v>Medium Discount</v>
      </c>
      <c r="H30" s="2">
        <v>20</v>
      </c>
      <c r="I30" s="3" t="s">
        <v>13</v>
      </c>
      <c r="J30" s="4">
        <f t="shared" si="1"/>
        <v>4.0999999999999996</v>
      </c>
      <c r="K30" t="str">
        <f t="shared" si="4"/>
        <v>Average</v>
      </c>
    </row>
    <row r="31" spans="1:11" x14ac:dyDescent="0.3">
      <c r="A31" s="9" t="s">
        <v>328</v>
      </c>
      <c r="B31" t="str">
        <f t="shared" si="2"/>
        <v>Bags &amp; Storage</v>
      </c>
      <c r="C31" s="2">
        <v>2200</v>
      </c>
      <c r="D31" s="2">
        <v>4080</v>
      </c>
      <c r="E31" s="2">
        <f t="shared" si="3"/>
        <v>1880</v>
      </c>
      <c r="F31" s="3">
        <v>0.46</v>
      </c>
      <c r="G31" s="3" t="str">
        <f t="shared" si="0"/>
        <v>High Discount</v>
      </c>
      <c r="H31" s="2">
        <v>0</v>
      </c>
      <c r="I31" s="3" t="s">
        <v>325</v>
      </c>
      <c r="J31" s="4">
        <f t="shared" si="1"/>
        <v>0</v>
      </c>
      <c r="K31" t="str">
        <f t="shared" si="4"/>
        <v>Poor</v>
      </c>
    </row>
    <row r="32" spans="1:11" x14ac:dyDescent="0.3">
      <c r="A32" s="9" t="s">
        <v>102</v>
      </c>
      <c r="B32" t="str">
        <f t="shared" si="2"/>
        <v>Other</v>
      </c>
      <c r="C32" s="2">
        <v>185</v>
      </c>
      <c r="D32" s="2">
        <v>382</v>
      </c>
      <c r="E32" s="2">
        <f t="shared" si="3"/>
        <v>197</v>
      </c>
      <c r="F32" s="3">
        <v>0.52</v>
      </c>
      <c r="G32" s="3" t="str">
        <f t="shared" si="0"/>
        <v>High Discount</v>
      </c>
      <c r="H32" s="2">
        <v>9</v>
      </c>
      <c r="I32" s="3" t="s">
        <v>88</v>
      </c>
      <c r="J32" s="4">
        <f t="shared" si="1"/>
        <v>4.3</v>
      </c>
      <c r="K32" t="str">
        <f t="shared" si="4"/>
        <v>Average</v>
      </c>
    </row>
    <row r="33" spans="1:11" x14ac:dyDescent="0.3">
      <c r="A33" s="9" t="s">
        <v>105</v>
      </c>
      <c r="B33" t="str">
        <f t="shared" si="2"/>
        <v>Other</v>
      </c>
      <c r="C33" s="2">
        <v>980</v>
      </c>
      <c r="D33" s="2">
        <v>1490</v>
      </c>
      <c r="E33" s="2">
        <f t="shared" si="3"/>
        <v>510</v>
      </c>
      <c r="F33" s="3">
        <v>0.34</v>
      </c>
      <c r="G33" s="3" t="str">
        <f t="shared" si="0"/>
        <v>Medium Discount</v>
      </c>
      <c r="H33" s="2">
        <v>12</v>
      </c>
      <c r="I33" s="3" t="s">
        <v>21</v>
      </c>
      <c r="J33" s="4">
        <f t="shared" si="1"/>
        <v>4.7</v>
      </c>
      <c r="K33" t="str">
        <f t="shared" si="4"/>
        <v>Excellent</v>
      </c>
    </row>
    <row r="34" spans="1:11" x14ac:dyDescent="0.3">
      <c r="A34" s="9" t="s">
        <v>108</v>
      </c>
      <c r="B34" t="str">
        <f t="shared" si="2"/>
        <v>Home Appliances</v>
      </c>
      <c r="C34" s="2">
        <v>1820</v>
      </c>
      <c r="D34" s="2">
        <v>3490</v>
      </c>
      <c r="E34" s="2">
        <f t="shared" si="3"/>
        <v>1670</v>
      </c>
      <c r="F34" s="3">
        <v>0.48</v>
      </c>
      <c r="G34" s="3" t="str">
        <f t="shared" ref="G34:G65" si="5">IF(F34&lt;0.2,"Low Discount",IF(F34&lt;=0.4,"Medium Discount","High Discount"))</f>
        <v>High Discount</v>
      </c>
      <c r="H34" s="2">
        <v>9</v>
      </c>
      <c r="I34" s="3" t="s">
        <v>88</v>
      </c>
      <c r="J34" s="4">
        <f t="shared" ref="J34:J65" si="6">VALUE(SUBSTITUTE(I34,"out of 5",""))</f>
        <v>4.3</v>
      </c>
      <c r="K34" t="str">
        <f t="shared" si="4"/>
        <v>Average</v>
      </c>
    </row>
    <row r="35" spans="1:11" x14ac:dyDescent="0.3">
      <c r="A35" s="9" t="s">
        <v>111</v>
      </c>
      <c r="B35" t="str">
        <f t="shared" si="2"/>
        <v>Home Decor</v>
      </c>
      <c r="C35" s="2">
        <v>1940</v>
      </c>
      <c r="D35" s="2">
        <v>2650</v>
      </c>
      <c r="E35" s="2">
        <f t="shared" si="3"/>
        <v>710</v>
      </c>
      <c r="F35" s="3">
        <v>0.27</v>
      </c>
      <c r="G35" s="3" t="str">
        <f t="shared" si="5"/>
        <v>Medium Discount</v>
      </c>
      <c r="H35" s="2">
        <v>20</v>
      </c>
      <c r="I35" s="3" t="s">
        <v>21</v>
      </c>
      <c r="J35" s="4">
        <f t="shared" si="6"/>
        <v>4.7</v>
      </c>
      <c r="K35" t="str">
        <f t="shared" si="4"/>
        <v>Excellent</v>
      </c>
    </row>
    <row r="36" spans="1:11" x14ac:dyDescent="0.3">
      <c r="A36" s="9" t="s">
        <v>114</v>
      </c>
      <c r="B36" t="str">
        <f t="shared" si="2"/>
        <v>Home Decor</v>
      </c>
      <c r="C36" s="2">
        <v>1980</v>
      </c>
      <c r="D36" s="2">
        <v>2699</v>
      </c>
      <c r="E36" s="2">
        <f t="shared" si="3"/>
        <v>719</v>
      </c>
      <c r="F36" s="3">
        <v>0.27</v>
      </c>
      <c r="G36" s="3" t="str">
        <f t="shared" si="5"/>
        <v>Medium Discount</v>
      </c>
      <c r="H36" s="2">
        <v>32</v>
      </c>
      <c r="I36" s="3" t="s">
        <v>9</v>
      </c>
      <c r="J36" s="4">
        <f t="shared" si="6"/>
        <v>4.5</v>
      </c>
      <c r="K36" t="str">
        <f t="shared" si="4"/>
        <v>Excellent</v>
      </c>
    </row>
    <row r="37" spans="1:11" x14ac:dyDescent="0.3">
      <c r="A37" s="9" t="s">
        <v>117</v>
      </c>
      <c r="B37" t="str">
        <f t="shared" si="2"/>
        <v>Bags &amp; Storage</v>
      </c>
      <c r="C37" s="2">
        <v>1620</v>
      </c>
      <c r="D37" s="2">
        <v>2690</v>
      </c>
      <c r="E37" s="2">
        <f t="shared" si="3"/>
        <v>1070</v>
      </c>
      <c r="F37" s="3">
        <v>0.4</v>
      </c>
      <c r="G37" s="3" t="str">
        <f t="shared" si="5"/>
        <v>Medium Discount</v>
      </c>
      <c r="H37" s="2">
        <v>1</v>
      </c>
      <c r="I37" s="3" t="s">
        <v>59</v>
      </c>
      <c r="J37" s="4">
        <f t="shared" si="6"/>
        <v>5</v>
      </c>
      <c r="K37" t="str">
        <f t="shared" si="4"/>
        <v>Excellent</v>
      </c>
    </row>
    <row r="38" spans="1:11" x14ac:dyDescent="0.3">
      <c r="A38" s="9" t="s">
        <v>120</v>
      </c>
      <c r="B38" t="str">
        <f t="shared" si="2"/>
        <v>Other</v>
      </c>
      <c r="C38" s="2">
        <v>171</v>
      </c>
      <c r="D38" s="2">
        <v>360</v>
      </c>
      <c r="E38" s="2">
        <f t="shared" si="3"/>
        <v>189</v>
      </c>
      <c r="F38" s="3">
        <v>0.53</v>
      </c>
      <c r="G38" s="3" t="str">
        <f t="shared" si="5"/>
        <v>High Discount</v>
      </c>
      <c r="H38" s="2">
        <v>2</v>
      </c>
      <c r="I38" s="3" t="s">
        <v>59</v>
      </c>
      <c r="J38" s="4">
        <f t="shared" si="6"/>
        <v>5</v>
      </c>
      <c r="K38" t="str">
        <f t="shared" si="4"/>
        <v>Excellent</v>
      </c>
    </row>
    <row r="39" spans="1:11" x14ac:dyDescent="0.3">
      <c r="A39" s="9" t="s">
        <v>122</v>
      </c>
      <c r="B39" t="str">
        <f t="shared" si="2"/>
        <v>Bags &amp; Storage</v>
      </c>
      <c r="C39" s="2">
        <v>389</v>
      </c>
      <c r="D39" s="2">
        <v>656</v>
      </c>
      <c r="E39" s="2">
        <f t="shared" si="3"/>
        <v>267</v>
      </c>
      <c r="F39" s="3">
        <v>0.41</v>
      </c>
      <c r="G39" s="3" t="str">
        <f t="shared" si="5"/>
        <v>High Discount</v>
      </c>
      <c r="H39" s="2">
        <v>36</v>
      </c>
      <c r="I39" s="3" t="s">
        <v>88</v>
      </c>
      <c r="J39" s="4">
        <f t="shared" si="6"/>
        <v>4.3</v>
      </c>
      <c r="K39" t="str">
        <f t="shared" si="4"/>
        <v>Average</v>
      </c>
    </row>
    <row r="40" spans="1:11" x14ac:dyDescent="0.3">
      <c r="A40" s="9" t="s">
        <v>125</v>
      </c>
      <c r="B40" t="str">
        <f t="shared" si="2"/>
        <v>Other</v>
      </c>
      <c r="C40" s="2" t="s">
        <v>327</v>
      </c>
      <c r="D40" s="2" t="s">
        <v>329</v>
      </c>
      <c r="E40" s="2" t="e">
        <f t="shared" si="3"/>
        <v>#VALUE!</v>
      </c>
      <c r="F40" s="3">
        <v>0.38</v>
      </c>
      <c r="G40" s="3" t="str">
        <f t="shared" si="5"/>
        <v>Medium Discount</v>
      </c>
      <c r="H40" s="2">
        <v>2</v>
      </c>
      <c r="I40" s="3" t="s">
        <v>9</v>
      </c>
      <c r="J40" s="4">
        <f t="shared" si="6"/>
        <v>4.5</v>
      </c>
      <c r="K40" t="str">
        <f t="shared" si="4"/>
        <v>Excellent</v>
      </c>
    </row>
    <row r="41" spans="1:11" x14ac:dyDescent="0.3">
      <c r="A41" s="9" t="s">
        <v>128</v>
      </c>
      <c r="B41" t="str">
        <f t="shared" si="2"/>
        <v>Other</v>
      </c>
      <c r="C41" s="2">
        <v>2750</v>
      </c>
      <c r="D41" s="2">
        <v>4471</v>
      </c>
      <c r="E41" s="2">
        <f t="shared" si="3"/>
        <v>1721</v>
      </c>
      <c r="F41" s="3">
        <v>0.38</v>
      </c>
      <c r="G41" s="3" t="str">
        <f t="shared" si="5"/>
        <v>Medium Discount</v>
      </c>
      <c r="H41" s="2">
        <v>0</v>
      </c>
      <c r="I41" s="3" t="s">
        <v>325</v>
      </c>
      <c r="J41" s="4">
        <f t="shared" si="6"/>
        <v>0</v>
      </c>
      <c r="K41" t="str">
        <f t="shared" si="4"/>
        <v>Poor</v>
      </c>
    </row>
    <row r="42" spans="1:11" x14ac:dyDescent="0.3">
      <c r="A42" s="9" t="s">
        <v>131</v>
      </c>
      <c r="B42" t="str">
        <f t="shared" si="2"/>
        <v>Other</v>
      </c>
      <c r="C42" s="2">
        <v>475</v>
      </c>
      <c r="D42" s="2">
        <v>931</v>
      </c>
      <c r="E42" s="2">
        <f t="shared" si="3"/>
        <v>456</v>
      </c>
      <c r="F42" s="3">
        <v>0.49</v>
      </c>
      <c r="G42" s="3" t="str">
        <f t="shared" si="5"/>
        <v>High Discount</v>
      </c>
      <c r="H42" s="2">
        <v>0</v>
      </c>
      <c r="I42" s="3" t="s">
        <v>325</v>
      </c>
      <c r="J42" s="4">
        <f t="shared" si="6"/>
        <v>0</v>
      </c>
      <c r="K42" t="str">
        <f t="shared" si="4"/>
        <v>Poor</v>
      </c>
    </row>
    <row r="43" spans="1:11" x14ac:dyDescent="0.3">
      <c r="A43" s="9" t="s">
        <v>134</v>
      </c>
      <c r="B43" t="str">
        <f t="shared" si="2"/>
        <v>Other</v>
      </c>
      <c r="C43" s="2">
        <v>238</v>
      </c>
      <c r="D43" s="2">
        <v>476</v>
      </c>
      <c r="E43" s="2">
        <f t="shared" si="3"/>
        <v>238</v>
      </c>
      <c r="F43" s="3">
        <v>0.5</v>
      </c>
      <c r="G43" s="3" t="str">
        <f t="shared" si="5"/>
        <v>High Discount</v>
      </c>
      <c r="H43" s="2">
        <v>0</v>
      </c>
      <c r="I43" s="3" t="s">
        <v>325</v>
      </c>
      <c r="J43" s="4">
        <f t="shared" si="6"/>
        <v>0</v>
      </c>
      <c r="K43" t="str">
        <f t="shared" si="4"/>
        <v>Poor</v>
      </c>
    </row>
    <row r="44" spans="1:11" x14ac:dyDescent="0.3">
      <c r="A44" s="9" t="s">
        <v>137</v>
      </c>
      <c r="B44" t="str">
        <f t="shared" si="2"/>
        <v>Tools &amp; Equipment</v>
      </c>
      <c r="C44" s="2">
        <v>610</v>
      </c>
      <c r="D44" s="2">
        <v>1060</v>
      </c>
      <c r="E44" s="2">
        <f t="shared" si="3"/>
        <v>450</v>
      </c>
      <c r="F44" s="3">
        <v>0.42</v>
      </c>
      <c r="G44" s="3" t="str">
        <f t="shared" si="5"/>
        <v>High Discount</v>
      </c>
      <c r="H44" s="2">
        <v>0</v>
      </c>
      <c r="I44" s="3" t="s">
        <v>325</v>
      </c>
      <c r="J44" s="4">
        <f t="shared" si="6"/>
        <v>0</v>
      </c>
      <c r="K44" t="str">
        <f t="shared" si="4"/>
        <v>Poor</v>
      </c>
    </row>
    <row r="45" spans="1:11" x14ac:dyDescent="0.3">
      <c r="A45" s="9" t="s">
        <v>140</v>
      </c>
      <c r="B45" t="str">
        <f t="shared" si="2"/>
        <v>Other</v>
      </c>
      <c r="C45" s="2">
        <v>2132</v>
      </c>
      <c r="D45" s="2">
        <v>2169</v>
      </c>
      <c r="E45" s="2">
        <f t="shared" si="3"/>
        <v>37</v>
      </c>
      <c r="F45" s="3">
        <v>0.02</v>
      </c>
      <c r="G45" s="3" t="str">
        <f t="shared" si="5"/>
        <v>Low Discount</v>
      </c>
      <c r="H45" s="2">
        <v>0</v>
      </c>
      <c r="I45" s="3" t="s">
        <v>325</v>
      </c>
      <c r="J45" s="4">
        <f t="shared" si="6"/>
        <v>0</v>
      </c>
      <c r="K45" t="str">
        <f t="shared" si="4"/>
        <v>Poor</v>
      </c>
    </row>
    <row r="46" spans="1:11" x14ac:dyDescent="0.3">
      <c r="A46" s="9" t="s">
        <v>143</v>
      </c>
      <c r="B46" t="str">
        <f t="shared" si="2"/>
        <v>Other</v>
      </c>
      <c r="C46" s="2">
        <v>999</v>
      </c>
      <c r="D46" s="2">
        <v>2000</v>
      </c>
      <c r="E46" s="2">
        <f t="shared" si="3"/>
        <v>1001</v>
      </c>
      <c r="F46" s="3">
        <v>0.5</v>
      </c>
      <c r="G46" s="3" t="str">
        <f t="shared" si="5"/>
        <v>High Discount</v>
      </c>
      <c r="H46" s="2">
        <v>0</v>
      </c>
      <c r="I46" s="3" t="s">
        <v>325</v>
      </c>
      <c r="J46" s="4">
        <f t="shared" si="6"/>
        <v>0</v>
      </c>
      <c r="K46" t="str">
        <f t="shared" si="4"/>
        <v>Poor</v>
      </c>
    </row>
    <row r="47" spans="1:11" x14ac:dyDescent="0.3">
      <c r="A47" s="9" t="s">
        <v>145</v>
      </c>
      <c r="B47" t="str">
        <f t="shared" si="2"/>
        <v>Other</v>
      </c>
      <c r="C47" s="2">
        <v>1190</v>
      </c>
      <c r="D47" s="2">
        <v>1785</v>
      </c>
      <c r="E47" s="2">
        <f t="shared" si="3"/>
        <v>595</v>
      </c>
      <c r="F47" s="3">
        <v>0.33</v>
      </c>
      <c r="G47" s="3" t="str">
        <f t="shared" si="5"/>
        <v>Medium Discount</v>
      </c>
      <c r="H47" s="2">
        <v>0</v>
      </c>
      <c r="I47" s="3" t="s">
        <v>325</v>
      </c>
      <c r="J47" s="4">
        <f t="shared" si="6"/>
        <v>0</v>
      </c>
      <c r="K47" t="str">
        <f t="shared" si="4"/>
        <v>Poor</v>
      </c>
    </row>
    <row r="48" spans="1:11" x14ac:dyDescent="0.3">
      <c r="A48" s="9" t="s">
        <v>148</v>
      </c>
      <c r="B48" t="str">
        <f t="shared" si="2"/>
        <v>Other</v>
      </c>
      <c r="C48" s="2">
        <v>671</v>
      </c>
      <c r="D48" s="2">
        <v>1316</v>
      </c>
      <c r="E48" s="2">
        <f t="shared" si="3"/>
        <v>645</v>
      </c>
      <c r="F48" s="3">
        <v>0.49</v>
      </c>
      <c r="G48" s="3" t="str">
        <f t="shared" si="5"/>
        <v>High Discount</v>
      </c>
      <c r="H48" s="2">
        <v>0</v>
      </c>
      <c r="I48" s="3" t="s">
        <v>325</v>
      </c>
      <c r="J48" s="4">
        <f t="shared" si="6"/>
        <v>0</v>
      </c>
      <c r="K48" t="str">
        <f t="shared" si="4"/>
        <v>Poor</v>
      </c>
    </row>
    <row r="49" spans="1:11" x14ac:dyDescent="0.3">
      <c r="A49" s="9" t="s">
        <v>151</v>
      </c>
      <c r="B49" t="str">
        <f t="shared" si="2"/>
        <v>Other</v>
      </c>
      <c r="C49" s="2">
        <v>1200</v>
      </c>
      <c r="D49" s="2">
        <v>1950</v>
      </c>
      <c r="E49" s="2">
        <f t="shared" si="3"/>
        <v>750</v>
      </c>
      <c r="F49" s="3">
        <v>0.38</v>
      </c>
      <c r="G49" s="3" t="str">
        <f t="shared" si="5"/>
        <v>Medium Discount</v>
      </c>
      <c r="H49" s="2">
        <v>0</v>
      </c>
      <c r="I49" s="3" t="s">
        <v>325</v>
      </c>
      <c r="J49" s="4">
        <f t="shared" si="6"/>
        <v>0</v>
      </c>
      <c r="K49" t="str">
        <f t="shared" si="4"/>
        <v>Poor</v>
      </c>
    </row>
    <row r="50" spans="1:11" x14ac:dyDescent="0.3">
      <c r="A50" s="9" t="s">
        <v>154</v>
      </c>
      <c r="B50" t="str">
        <f t="shared" si="2"/>
        <v>Other</v>
      </c>
      <c r="C50" s="2">
        <v>199</v>
      </c>
      <c r="D50" s="2">
        <v>504</v>
      </c>
      <c r="E50" s="2">
        <f t="shared" si="3"/>
        <v>305</v>
      </c>
      <c r="F50" s="3">
        <v>0.61</v>
      </c>
      <c r="G50" s="3" t="str">
        <f t="shared" si="5"/>
        <v>High Discount</v>
      </c>
      <c r="H50" s="2">
        <v>0</v>
      </c>
      <c r="I50" s="3" t="s">
        <v>325</v>
      </c>
      <c r="J50" s="4">
        <f t="shared" si="6"/>
        <v>0</v>
      </c>
      <c r="K50" t="str">
        <f t="shared" si="4"/>
        <v>Poor</v>
      </c>
    </row>
    <row r="51" spans="1:11" x14ac:dyDescent="0.3">
      <c r="A51" s="9" t="s">
        <v>157</v>
      </c>
      <c r="B51" t="str">
        <f t="shared" si="2"/>
        <v>Tools &amp; Equipment</v>
      </c>
      <c r="C51" s="2">
        <v>299</v>
      </c>
      <c r="D51" s="2">
        <v>600</v>
      </c>
      <c r="E51" s="2">
        <f t="shared" si="3"/>
        <v>301</v>
      </c>
      <c r="F51" s="3">
        <v>0.5</v>
      </c>
      <c r="G51" s="3" t="str">
        <f t="shared" si="5"/>
        <v>High Discount</v>
      </c>
      <c r="H51" s="2">
        <v>0</v>
      </c>
      <c r="I51" s="3" t="s">
        <v>325</v>
      </c>
      <c r="J51" s="4">
        <f t="shared" si="6"/>
        <v>0</v>
      </c>
      <c r="K51" t="str">
        <f t="shared" si="4"/>
        <v>Poor</v>
      </c>
    </row>
    <row r="52" spans="1:11" x14ac:dyDescent="0.3">
      <c r="A52" s="9" t="s">
        <v>160</v>
      </c>
      <c r="B52" t="str">
        <f t="shared" si="2"/>
        <v>Tools &amp; Equipment</v>
      </c>
      <c r="C52" s="2">
        <v>1660</v>
      </c>
      <c r="D52" s="2">
        <v>1699</v>
      </c>
      <c r="E52" s="2">
        <f t="shared" si="3"/>
        <v>39</v>
      </c>
      <c r="F52" s="3">
        <v>0.02</v>
      </c>
      <c r="G52" s="3" t="str">
        <f t="shared" si="5"/>
        <v>Low Discount</v>
      </c>
      <c r="H52" s="2">
        <v>0</v>
      </c>
      <c r="I52" s="3" t="s">
        <v>325</v>
      </c>
      <c r="J52" s="4">
        <f t="shared" si="6"/>
        <v>0</v>
      </c>
      <c r="K52" t="str">
        <f t="shared" si="4"/>
        <v>Poor</v>
      </c>
    </row>
    <row r="53" spans="1:11" x14ac:dyDescent="0.3">
      <c r="A53" s="9" t="s">
        <v>163</v>
      </c>
      <c r="B53" t="str">
        <f t="shared" si="2"/>
        <v>Bags &amp; Storage</v>
      </c>
      <c r="C53" s="2">
        <v>299</v>
      </c>
      <c r="D53" s="2">
        <v>384</v>
      </c>
      <c r="E53" s="2">
        <f t="shared" si="3"/>
        <v>85</v>
      </c>
      <c r="F53" s="3">
        <v>0.22</v>
      </c>
      <c r="G53" s="3" t="str">
        <f t="shared" si="5"/>
        <v>Medium Discount</v>
      </c>
      <c r="H53" s="2">
        <v>0</v>
      </c>
      <c r="I53" s="3" t="s">
        <v>325</v>
      </c>
      <c r="J53" s="4">
        <f t="shared" si="6"/>
        <v>0</v>
      </c>
      <c r="K53" t="str">
        <f t="shared" si="4"/>
        <v>Poor</v>
      </c>
    </row>
    <row r="54" spans="1:11" x14ac:dyDescent="0.3">
      <c r="A54" s="9" t="s">
        <v>165</v>
      </c>
      <c r="B54" t="str">
        <f t="shared" si="2"/>
        <v>Other</v>
      </c>
      <c r="C54" s="2">
        <v>1459</v>
      </c>
      <c r="D54" s="2">
        <v>1499</v>
      </c>
      <c r="E54" s="2">
        <f t="shared" si="3"/>
        <v>40</v>
      </c>
      <c r="F54" s="3">
        <v>0.03</v>
      </c>
      <c r="G54" s="3" t="str">
        <f t="shared" si="5"/>
        <v>Low Discount</v>
      </c>
      <c r="H54" s="2">
        <v>0</v>
      </c>
      <c r="I54" s="3" t="s">
        <v>325</v>
      </c>
      <c r="J54" s="4">
        <f t="shared" si="6"/>
        <v>0</v>
      </c>
      <c r="K54" t="str">
        <f t="shared" si="4"/>
        <v>Poor</v>
      </c>
    </row>
    <row r="55" spans="1:11" x14ac:dyDescent="0.3">
      <c r="A55" s="9" t="s">
        <v>168</v>
      </c>
      <c r="B55" t="str">
        <f t="shared" si="2"/>
        <v>Other</v>
      </c>
      <c r="C55" s="2">
        <v>799</v>
      </c>
      <c r="D55" s="2">
        <v>1343</v>
      </c>
      <c r="E55" s="2">
        <f t="shared" si="3"/>
        <v>544</v>
      </c>
      <c r="F55" s="3">
        <v>0.41</v>
      </c>
      <c r="G55" s="3" t="str">
        <f t="shared" si="5"/>
        <v>High Discount</v>
      </c>
      <c r="H55" s="2">
        <v>0</v>
      </c>
      <c r="I55" s="3" t="s">
        <v>325</v>
      </c>
      <c r="J55" s="4">
        <f t="shared" si="6"/>
        <v>0</v>
      </c>
      <c r="K55" t="str">
        <f t="shared" si="4"/>
        <v>Poor</v>
      </c>
    </row>
    <row r="56" spans="1:11" x14ac:dyDescent="0.3">
      <c r="A56" s="9" t="s">
        <v>170</v>
      </c>
      <c r="B56" t="str">
        <f t="shared" si="2"/>
        <v>Other</v>
      </c>
      <c r="C56" s="2">
        <v>499</v>
      </c>
      <c r="D56" s="2">
        <v>900</v>
      </c>
      <c r="E56" s="2">
        <f t="shared" si="3"/>
        <v>401</v>
      </c>
      <c r="F56" s="3">
        <v>0.45</v>
      </c>
      <c r="G56" s="3" t="str">
        <f t="shared" si="5"/>
        <v>High Discount</v>
      </c>
      <c r="H56" s="2">
        <v>0</v>
      </c>
      <c r="I56" s="3" t="s">
        <v>325</v>
      </c>
      <c r="J56" s="4">
        <f t="shared" si="6"/>
        <v>0</v>
      </c>
      <c r="K56" t="str">
        <f t="shared" si="4"/>
        <v>Poor</v>
      </c>
    </row>
    <row r="57" spans="1:11" x14ac:dyDescent="0.3">
      <c r="A57" s="9" t="s">
        <v>173</v>
      </c>
      <c r="B57" t="str">
        <f t="shared" si="2"/>
        <v>Other</v>
      </c>
      <c r="C57" s="2">
        <v>699</v>
      </c>
      <c r="D57" s="2">
        <v>1343</v>
      </c>
      <c r="E57" s="2">
        <f t="shared" si="3"/>
        <v>644</v>
      </c>
      <c r="F57" s="3">
        <v>0.48</v>
      </c>
      <c r="G57" s="3" t="str">
        <f t="shared" si="5"/>
        <v>High Discount</v>
      </c>
      <c r="H57" s="2">
        <v>0</v>
      </c>
      <c r="I57" s="3" t="s">
        <v>325</v>
      </c>
      <c r="J57" s="4">
        <f t="shared" si="6"/>
        <v>0</v>
      </c>
      <c r="K57" t="str">
        <f t="shared" si="4"/>
        <v>Poor</v>
      </c>
    </row>
    <row r="58" spans="1:11" x14ac:dyDescent="0.3">
      <c r="A58" s="9" t="s">
        <v>175</v>
      </c>
      <c r="B58" t="str">
        <f t="shared" si="2"/>
        <v>Tools &amp; Equipment</v>
      </c>
      <c r="C58" s="2">
        <v>799</v>
      </c>
      <c r="D58" s="2">
        <v>1567</v>
      </c>
      <c r="E58" s="2">
        <f t="shared" si="3"/>
        <v>768</v>
      </c>
      <c r="F58" s="3">
        <v>0.49</v>
      </c>
      <c r="G58" s="3" t="str">
        <f t="shared" si="5"/>
        <v>High Discount</v>
      </c>
      <c r="H58" s="2">
        <v>0</v>
      </c>
      <c r="I58" s="3" t="s">
        <v>325</v>
      </c>
      <c r="J58" s="4">
        <f t="shared" si="6"/>
        <v>0</v>
      </c>
      <c r="K58" t="str">
        <f t="shared" si="4"/>
        <v>Poor</v>
      </c>
    </row>
    <row r="59" spans="1:11" x14ac:dyDescent="0.3">
      <c r="A59" s="9" t="s">
        <v>177</v>
      </c>
      <c r="B59" t="str">
        <f t="shared" si="2"/>
        <v>Tools &amp; Equipment</v>
      </c>
      <c r="C59" s="2">
        <v>2799</v>
      </c>
      <c r="D59" s="2">
        <v>3810</v>
      </c>
      <c r="E59" s="2">
        <f t="shared" si="3"/>
        <v>1011</v>
      </c>
      <c r="F59" s="3">
        <v>0.27</v>
      </c>
      <c r="G59" s="3" t="str">
        <f t="shared" si="5"/>
        <v>Medium Discount</v>
      </c>
      <c r="H59" s="2">
        <v>0</v>
      </c>
      <c r="I59" s="3" t="s">
        <v>325</v>
      </c>
      <c r="J59" s="4">
        <f t="shared" si="6"/>
        <v>0</v>
      </c>
      <c r="K59" t="str">
        <f t="shared" si="4"/>
        <v>Poor</v>
      </c>
    </row>
    <row r="60" spans="1:11" x14ac:dyDescent="0.3">
      <c r="A60" s="9" t="s">
        <v>170</v>
      </c>
      <c r="B60" t="str">
        <f t="shared" si="2"/>
        <v>Other</v>
      </c>
      <c r="C60" s="2">
        <v>399</v>
      </c>
      <c r="D60" s="2">
        <v>896</v>
      </c>
      <c r="E60" s="2">
        <f t="shared" si="3"/>
        <v>497</v>
      </c>
      <c r="F60" s="3">
        <v>0.55000000000000004</v>
      </c>
      <c r="G60" s="3" t="str">
        <f t="shared" si="5"/>
        <v>High Discount</v>
      </c>
      <c r="H60" s="2">
        <v>0</v>
      </c>
      <c r="I60" s="3" t="s">
        <v>325</v>
      </c>
      <c r="J60" s="4">
        <f t="shared" si="6"/>
        <v>0</v>
      </c>
      <c r="K60" t="str">
        <f t="shared" si="4"/>
        <v>Poor</v>
      </c>
    </row>
    <row r="61" spans="1:11" x14ac:dyDescent="0.3">
      <c r="A61" s="9" t="s">
        <v>182</v>
      </c>
      <c r="B61" t="str">
        <f t="shared" si="2"/>
        <v>Tools &amp; Equipment</v>
      </c>
      <c r="C61" s="2">
        <v>2170</v>
      </c>
      <c r="D61" s="2">
        <v>2500</v>
      </c>
      <c r="E61" s="2">
        <f t="shared" si="3"/>
        <v>330</v>
      </c>
      <c r="F61" s="3">
        <v>0.13</v>
      </c>
      <c r="G61" s="3" t="str">
        <f t="shared" si="5"/>
        <v>Low Discount</v>
      </c>
      <c r="H61" s="2">
        <v>6</v>
      </c>
      <c r="I61" s="3" t="s">
        <v>185</v>
      </c>
      <c r="J61" s="4">
        <f t="shared" si="6"/>
        <v>2.5</v>
      </c>
      <c r="K61" t="str">
        <f t="shared" si="4"/>
        <v>Poor</v>
      </c>
    </row>
    <row r="62" spans="1:11" x14ac:dyDescent="0.3">
      <c r="A62" s="9" t="s">
        <v>186</v>
      </c>
      <c r="B62" t="str">
        <f t="shared" si="2"/>
        <v>Other</v>
      </c>
      <c r="C62" s="2">
        <v>458</v>
      </c>
      <c r="D62" s="2">
        <v>986</v>
      </c>
      <c r="E62" s="2">
        <f t="shared" si="3"/>
        <v>528</v>
      </c>
      <c r="F62" s="3">
        <v>0.54</v>
      </c>
      <c r="G62" s="3" t="str">
        <f t="shared" si="5"/>
        <v>High Discount</v>
      </c>
      <c r="H62" s="2">
        <v>10</v>
      </c>
      <c r="I62" s="3" t="s">
        <v>189</v>
      </c>
      <c r="J62" s="4">
        <f t="shared" si="6"/>
        <v>3</v>
      </c>
      <c r="K62" t="str">
        <f t="shared" si="4"/>
        <v>Average</v>
      </c>
    </row>
    <row r="63" spans="1:11" x14ac:dyDescent="0.3">
      <c r="A63" s="9" t="s">
        <v>190</v>
      </c>
      <c r="B63" t="str">
        <f t="shared" si="2"/>
        <v>Tools &amp; Equipment</v>
      </c>
      <c r="C63" s="2">
        <v>2115</v>
      </c>
      <c r="D63" s="2">
        <v>4700</v>
      </c>
      <c r="E63" s="2">
        <f t="shared" si="3"/>
        <v>2585</v>
      </c>
      <c r="F63" s="3">
        <v>0.55000000000000004</v>
      </c>
      <c r="G63" s="3" t="str">
        <f t="shared" si="5"/>
        <v>High Discount</v>
      </c>
      <c r="H63" s="2">
        <v>13</v>
      </c>
      <c r="I63" s="3" t="s">
        <v>193</v>
      </c>
      <c r="J63" s="4">
        <f t="shared" si="6"/>
        <v>2.1</v>
      </c>
      <c r="K63" t="str">
        <f t="shared" si="4"/>
        <v>Poor</v>
      </c>
    </row>
    <row r="64" spans="1:11" x14ac:dyDescent="0.3">
      <c r="A64" s="9" t="s">
        <v>194</v>
      </c>
      <c r="B64" t="str">
        <f t="shared" si="2"/>
        <v>Home Appliances</v>
      </c>
      <c r="C64" s="2">
        <v>445</v>
      </c>
      <c r="D64" s="2">
        <v>873</v>
      </c>
      <c r="E64" s="2">
        <f t="shared" si="3"/>
        <v>428</v>
      </c>
      <c r="F64" s="3">
        <v>0.49</v>
      </c>
      <c r="G64" s="3" t="str">
        <f t="shared" si="5"/>
        <v>High Discount</v>
      </c>
      <c r="H64" s="2">
        <v>69</v>
      </c>
      <c r="I64" s="3" t="s">
        <v>197</v>
      </c>
      <c r="J64" s="4">
        <f t="shared" si="6"/>
        <v>2.8</v>
      </c>
      <c r="K64" t="str">
        <f t="shared" si="4"/>
        <v>Poor</v>
      </c>
    </row>
    <row r="65" spans="1:11" x14ac:dyDescent="0.3">
      <c r="A65" s="9" t="s">
        <v>198</v>
      </c>
      <c r="B65" t="str">
        <f t="shared" si="2"/>
        <v>Other</v>
      </c>
      <c r="C65" s="2">
        <v>325</v>
      </c>
      <c r="D65" s="2">
        <v>680</v>
      </c>
      <c r="E65" s="2">
        <f t="shared" si="3"/>
        <v>355</v>
      </c>
      <c r="F65" s="3">
        <v>0.52</v>
      </c>
      <c r="G65" s="3" t="str">
        <f t="shared" si="5"/>
        <v>High Discount</v>
      </c>
      <c r="H65" s="2">
        <v>15</v>
      </c>
      <c r="I65" s="3" t="s">
        <v>201</v>
      </c>
      <c r="J65" s="4">
        <f t="shared" si="6"/>
        <v>2.7</v>
      </c>
      <c r="K65" t="str">
        <f t="shared" si="4"/>
        <v>Poor</v>
      </c>
    </row>
    <row r="66" spans="1:11" x14ac:dyDescent="0.3">
      <c r="A66" s="9" t="s">
        <v>202</v>
      </c>
      <c r="B66" t="str">
        <f t="shared" si="2"/>
        <v>Home Appliances</v>
      </c>
      <c r="C66" s="2">
        <v>1220</v>
      </c>
      <c r="D66" s="2">
        <v>1555</v>
      </c>
      <c r="E66" s="2">
        <f t="shared" si="3"/>
        <v>335</v>
      </c>
      <c r="F66" s="3">
        <v>0.22</v>
      </c>
      <c r="G66" s="3" t="str">
        <f t="shared" ref="G66:G97" si="7">IF(F66&lt;0.2,"Low Discount",IF(F66&lt;=0.4,"Medium Discount","High Discount"))</f>
        <v>Medium Discount</v>
      </c>
      <c r="H66" s="2">
        <v>16</v>
      </c>
      <c r="I66" s="3" t="s">
        <v>205</v>
      </c>
      <c r="J66" s="4">
        <f t="shared" ref="J66:J97" si="8">VALUE(SUBSTITUTE(I66,"out of 5",""))</f>
        <v>2.9</v>
      </c>
      <c r="K66" t="str">
        <f t="shared" si="4"/>
        <v>Poor</v>
      </c>
    </row>
    <row r="67" spans="1:11" x14ac:dyDescent="0.3">
      <c r="A67" s="9" t="s">
        <v>206</v>
      </c>
      <c r="B67" t="str">
        <f t="shared" ref="B67:B113" si="9">IF(ISNUMBER(SEARCH("vacuum",A67)),"Home Appliances",
 IF(ISNUMBER(SEARCH("humidifier",A67)),"Home Appliances",
 IF(ISNUMBER(SEARCH("fan",A67)),"Home Appliances",
 IF(ISNUMBER(SEARCH("lamp",A67)),"Home Appliances",
 IF(ISNUMBER(SEARCH("hook",A67)),"Home Decor",
 IF(ISNUMBER(SEARCH("hanger",A67)),"Home Decor",
 IF(ISNUMBER(SEARCH("curtain",A67)),"Home Decor",
 IF(ISNUMBER(SEARCH("flower",A67)),"Home Decor",
 IF(ISNUMBER(SEARCH("sticker",A67)),"Home Decor",
 IF(ISNUMBER(SEARCH("tool",A67)),"Tools &amp; Equipment",
 IF(ISNUMBER(SEARCH("set",A67)),"Tools &amp; Equipment",
 IF(ISNUMBER(SEARCH("caliper",A67)),"Tools &amp; Equipment",
 IF(ISNUMBER(SEARCH("scale",A67)),"Tools &amp; Equipment",
 IF(ISNUMBER(SEARCH("knife",A67)),"Tools &amp; Equipment",
 IF(ISNUMBER(SEARCH("bag",A67)),"Bags &amp; Storage",
 IF(ISNUMBER(SEARCH("storage",A67)),"Bags &amp; Storage",
 IF(ISNUMBER(SEARCH("holder",A67)),"Bags &amp; Storage",
 "Other")))))))))))))))))</f>
        <v>Home Decor</v>
      </c>
      <c r="C67" s="2">
        <v>990</v>
      </c>
      <c r="D67" s="2">
        <v>1814</v>
      </c>
      <c r="E67" s="2">
        <f t="shared" ref="E67:E113" si="10">D67-C67</f>
        <v>824</v>
      </c>
      <c r="F67" s="3">
        <v>0.45</v>
      </c>
      <c r="G67" s="3" t="str">
        <f t="shared" si="7"/>
        <v>High Discount</v>
      </c>
      <c r="H67" s="2">
        <v>6</v>
      </c>
      <c r="I67" s="3" t="s">
        <v>208</v>
      </c>
      <c r="J67" s="4">
        <f t="shared" si="8"/>
        <v>2.2000000000000002</v>
      </c>
      <c r="K67" t="str">
        <f t="shared" ref="K67:K113" si="11">IF(J67&lt;3,"Poor",IF(J67&lt;4.5,"Average","Excellent"))</f>
        <v>Poor</v>
      </c>
    </row>
    <row r="68" spans="1:11" x14ac:dyDescent="0.3">
      <c r="A68" s="9" t="s">
        <v>209</v>
      </c>
      <c r="B68" t="str">
        <f t="shared" si="9"/>
        <v>Other</v>
      </c>
      <c r="C68" s="2">
        <v>1000</v>
      </c>
      <c r="D68" s="2">
        <v>2000</v>
      </c>
      <c r="E68" s="2">
        <f t="shared" si="10"/>
        <v>1000</v>
      </c>
      <c r="F68" s="3">
        <v>0.5</v>
      </c>
      <c r="G68" s="3" t="str">
        <f t="shared" si="7"/>
        <v>High Discount</v>
      </c>
      <c r="H68" s="2">
        <v>7</v>
      </c>
      <c r="I68" s="3" t="s">
        <v>211</v>
      </c>
      <c r="J68" s="4">
        <f t="shared" si="8"/>
        <v>2.2999999999999998</v>
      </c>
      <c r="K68" t="str">
        <f t="shared" si="11"/>
        <v>Poor</v>
      </c>
    </row>
    <row r="69" spans="1:11" x14ac:dyDescent="0.3">
      <c r="A69" s="9" t="s">
        <v>212</v>
      </c>
      <c r="B69" t="str">
        <f t="shared" si="9"/>
        <v>Tools &amp; Equipment</v>
      </c>
      <c r="C69" s="2">
        <v>3750</v>
      </c>
      <c r="D69" s="2">
        <v>6143</v>
      </c>
      <c r="E69" s="2">
        <f t="shared" si="10"/>
        <v>2393</v>
      </c>
      <c r="F69" s="3">
        <v>0.39</v>
      </c>
      <c r="G69" s="3" t="str">
        <f t="shared" si="7"/>
        <v>Medium Discount</v>
      </c>
      <c r="H69" s="2">
        <v>5</v>
      </c>
      <c r="I69" s="3" t="s">
        <v>189</v>
      </c>
      <c r="J69" s="4">
        <f t="shared" si="8"/>
        <v>3</v>
      </c>
      <c r="K69" t="str">
        <f t="shared" si="11"/>
        <v>Average</v>
      </c>
    </row>
    <row r="70" spans="1:11" x14ac:dyDescent="0.3">
      <c r="A70" s="9" t="s">
        <v>215</v>
      </c>
      <c r="B70" t="str">
        <f t="shared" si="9"/>
        <v>Bags &amp; Storage</v>
      </c>
      <c r="C70" s="2">
        <v>382</v>
      </c>
      <c r="D70" s="2">
        <v>700</v>
      </c>
      <c r="E70" s="2">
        <f t="shared" si="10"/>
        <v>318</v>
      </c>
      <c r="F70" s="3">
        <v>0.45</v>
      </c>
      <c r="G70" s="3" t="str">
        <f t="shared" si="7"/>
        <v>High Discount</v>
      </c>
      <c r="H70" s="2">
        <v>17</v>
      </c>
      <c r="I70" s="3" t="s">
        <v>217</v>
      </c>
      <c r="J70" s="4">
        <f t="shared" si="8"/>
        <v>2.6</v>
      </c>
      <c r="K70" t="str">
        <f t="shared" si="11"/>
        <v>Poor</v>
      </c>
    </row>
    <row r="71" spans="1:11" x14ac:dyDescent="0.3">
      <c r="A71" s="9" t="s">
        <v>218</v>
      </c>
      <c r="B71" t="str">
        <f t="shared" si="9"/>
        <v>Bags &amp; Storage</v>
      </c>
      <c r="C71" s="2">
        <v>2300</v>
      </c>
      <c r="D71" s="2">
        <v>3240</v>
      </c>
      <c r="E71" s="2">
        <f t="shared" si="10"/>
        <v>940</v>
      </c>
      <c r="F71" s="3">
        <v>0.28999999999999998</v>
      </c>
      <c r="G71" s="3" t="str">
        <f t="shared" si="7"/>
        <v>Medium Discount</v>
      </c>
      <c r="H71" s="2">
        <v>5</v>
      </c>
      <c r="I71" s="3" t="s">
        <v>189</v>
      </c>
      <c r="J71" s="4">
        <f t="shared" si="8"/>
        <v>3</v>
      </c>
      <c r="K71" t="str">
        <f t="shared" si="11"/>
        <v>Average</v>
      </c>
    </row>
    <row r="72" spans="1:11" x14ac:dyDescent="0.3">
      <c r="A72" s="9" t="s">
        <v>221</v>
      </c>
      <c r="B72" t="str">
        <f t="shared" si="9"/>
        <v>Other</v>
      </c>
      <c r="C72" s="2">
        <v>345</v>
      </c>
      <c r="D72" s="2">
        <v>602</v>
      </c>
      <c r="E72" s="2">
        <f t="shared" si="10"/>
        <v>257</v>
      </c>
      <c r="F72" s="3">
        <v>0.43</v>
      </c>
      <c r="G72" s="3" t="str">
        <f t="shared" si="7"/>
        <v>High Discount</v>
      </c>
      <c r="H72" s="2">
        <v>6</v>
      </c>
      <c r="I72" s="3" t="s">
        <v>211</v>
      </c>
      <c r="J72" s="4">
        <f t="shared" si="8"/>
        <v>2.2999999999999998</v>
      </c>
      <c r="K72" t="str">
        <f t="shared" si="11"/>
        <v>Poor</v>
      </c>
    </row>
    <row r="73" spans="1:11" x14ac:dyDescent="0.3">
      <c r="A73" s="9" t="s">
        <v>224</v>
      </c>
      <c r="B73" t="str">
        <f t="shared" si="9"/>
        <v>Other</v>
      </c>
      <c r="C73" s="2">
        <v>509</v>
      </c>
      <c r="D73" s="2">
        <v>899</v>
      </c>
      <c r="E73" s="2">
        <f t="shared" si="10"/>
        <v>390</v>
      </c>
      <c r="F73" s="3">
        <v>0.43</v>
      </c>
      <c r="G73" s="3" t="str">
        <f t="shared" si="7"/>
        <v>High Discount</v>
      </c>
      <c r="H73" s="2">
        <v>5</v>
      </c>
      <c r="I73" s="3" t="s">
        <v>189</v>
      </c>
      <c r="J73" s="4">
        <f t="shared" si="8"/>
        <v>3</v>
      </c>
      <c r="K73" t="str">
        <f t="shared" si="11"/>
        <v>Average</v>
      </c>
    </row>
    <row r="74" spans="1:11" x14ac:dyDescent="0.3">
      <c r="A74" s="9" t="s">
        <v>227</v>
      </c>
      <c r="B74" t="str">
        <f t="shared" si="9"/>
        <v>Tools &amp; Equipment</v>
      </c>
      <c r="C74" s="2">
        <v>968</v>
      </c>
      <c r="D74" s="2">
        <v>1814</v>
      </c>
      <c r="E74" s="2">
        <f t="shared" si="10"/>
        <v>846</v>
      </c>
      <c r="F74" s="3">
        <v>0.47</v>
      </c>
      <c r="G74" s="3" t="str">
        <f t="shared" si="7"/>
        <v>High Discount</v>
      </c>
      <c r="H74" s="2">
        <v>6</v>
      </c>
      <c r="I74" s="3" t="s">
        <v>208</v>
      </c>
      <c r="J74" s="4">
        <f t="shared" si="8"/>
        <v>2.2000000000000002</v>
      </c>
      <c r="K74" t="str">
        <f t="shared" si="11"/>
        <v>Poor</v>
      </c>
    </row>
    <row r="75" spans="1:11" x14ac:dyDescent="0.3">
      <c r="A75" s="9" t="s">
        <v>229</v>
      </c>
      <c r="B75" t="str">
        <f t="shared" si="9"/>
        <v>Home Appliances</v>
      </c>
      <c r="C75" s="2">
        <v>1570</v>
      </c>
      <c r="D75" s="2">
        <v>2988</v>
      </c>
      <c r="E75" s="2">
        <f t="shared" si="10"/>
        <v>1418</v>
      </c>
      <c r="F75" s="3">
        <v>0.47</v>
      </c>
      <c r="G75" s="3" t="str">
        <f t="shared" si="7"/>
        <v>High Discount</v>
      </c>
      <c r="H75" s="2">
        <v>7</v>
      </c>
      <c r="I75" s="3" t="s">
        <v>193</v>
      </c>
      <c r="J75" s="4">
        <f t="shared" si="8"/>
        <v>2.1</v>
      </c>
      <c r="K75" t="str">
        <f t="shared" si="11"/>
        <v>Poor</v>
      </c>
    </row>
    <row r="76" spans="1:11" x14ac:dyDescent="0.3">
      <c r="A76" s="9" t="s">
        <v>232</v>
      </c>
      <c r="B76" t="str">
        <f t="shared" si="9"/>
        <v>Home Appliances</v>
      </c>
      <c r="C76" s="2">
        <v>790</v>
      </c>
      <c r="D76" s="2">
        <v>1485</v>
      </c>
      <c r="E76" s="2">
        <f t="shared" si="10"/>
        <v>695</v>
      </c>
      <c r="F76" s="3">
        <v>0.47</v>
      </c>
      <c r="G76" s="3" t="str">
        <f t="shared" si="7"/>
        <v>High Discount</v>
      </c>
      <c r="H76" s="2">
        <v>0</v>
      </c>
      <c r="I76" s="3" t="s">
        <v>325</v>
      </c>
      <c r="J76" s="4">
        <f t="shared" si="8"/>
        <v>0</v>
      </c>
      <c r="K76" t="str">
        <f t="shared" si="11"/>
        <v>Poor</v>
      </c>
    </row>
    <row r="77" spans="1:11" x14ac:dyDescent="0.3">
      <c r="A77" s="9" t="s">
        <v>235</v>
      </c>
      <c r="B77" t="str">
        <f t="shared" si="9"/>
        <v>Other</v>
      </c>
      <c r="C77" s="2">
        <v>690</v>
      </c>
      <c r="D77" s="2">
        <v>1200</v>
      </c>
      <c r="E77" s="2">
        <f t="shared" si="10"/>
        <v>510</v>
      </c>
      <c r="F77" s="3">
        <v>0.43</v>
      </c>
      <c r="G77" s="3" t="str">
        <f t="shared" si="7"/>
        <v>High Discount</v>
      </c>
      <c r="H77" s="2">
        <v>0</v>
      </c>
      <c r="I77" s="3" t="s">
        <v>325</v>
      </c>
      <c r="J77" s="4">
        <f t="shared" si="8"/>
        <v>0</v>
      </c>
      <c r="K77" t="str">
        <f t="shared" si="11"/>
        <v>Poor</v>
      </c>
    </row>
    <row r="78" spans="1:11" x14ac:dyDescent="0.3">
      <c r="A78" s="9" t="s">
        <v>237</v>
      </c>
      <c r="B78" t="str">
        <f t="shared" si="9"/>
        <v>Other</v>
      </c>
      <c r="C78" s="2">
        <v>1732</v>
      </c>
      <c r="D78" s="2">
        <v>1799</v>
      </c>
      <c r="E78" s="2">
        <f t="shared" si="10"/>
        <v>67</v>
      </c>
      <c r="F78" s="3">
        <v>0.04</v>
      </c>
      <c r="G78" s="3" t="str">
        <f t="shared" si="7"/>
        <v>Low Discount</v>
      </c>
      <c r="H78" s="2">
        <v>0</v>
      </c>
      <c r="I78" s="3" t="s">
        <v>325</v>
      </c>
      <c r="J78" s="4">
        <f t="shared" si="8"/>
        <v>0</v>
      </c>
      <c r="K78" t="str">
        <f t="shared" si="11"/>
        <v>Poor</v>
      </c>
    </row>
    <row r="79" spans="1:11" x14ac:dyDescent="0.3">
      <c r="A79" s="9" t="s">
        <v>240</v>
      </c>
      <c r="B79" t="str">
        <f t="shared" si="9"/>
        <v>Tools &amp; Equipment</v>
      </c>
      <c r="C79" s="2">
        <v>230</v>
      </c>
      <c r="D79" s="2">
        <v>450</v>
      </c>
      <c r="E79" s="2">
        <f t="shared" si="10"/>
        <v>220</v>
      </c>
      <c r="F79" s="3">
        <v>0.49</v>
      </c>
      <c r="G79" s="3" t="str">
        <f t="shared" si="7"/>
        <v>High Discount</v>
      </c>
      <c r="H79" s="2">
        <v>0</v>
      </c>
      <c r="I79" s="3" t="s">
        <v>325</v>
      </c>
      <c r="J79" s="4">
        <f t="shared" si="8"/>
        <v>0</v>
      </c>
      <c r="K79" t="str">
        <f t="shared" si="11"/>
        <v>Poor</v>
      </c>
    </row>
    <row r="80" spans="1:11" x14ac:dyDescent="0.3">
      <c r="A80" s="9" t="s">
        <v>243</v>
      </c>
      <c r="B80" t="str">
        <f t="shared" si="9"/>
        <v>Other</v>
      </c>
      <c r="C80" s="2">
        <v>1189</v>
      </c>
      <c r="D80" s="2">
        <v>2199</v>
      </c>
      <c r="E80" s="2">
        <f t="shared" si="10"/>
        <v>1010</v>
      </c>
      <c r="F80" s="3">
        <v>0.46</v>
      </c>
      <c r="G80" s="3" t="str">
        <f t="shared" si="7"/>
        <v>High Discount</v>
      </c>
      <c r="H80" s="2">
        <v>1</v>
      </c>
      <c r="I80" s="3" t="s">
        <v>189</v>
      </c>
      <c r="J80" s="4">
        <f t="shared" si="8"/>
        <v>3</v>
      </c>
      <c r="K80" t="str">
        <f t="shared" si="11"/>
        <v>Average</v>
      </c>
    </row>
    <row r="81" spans="1:11" x14ac:dyDescent="0.3">
      <c r="A81" s="9" t="s">
        <v>245</v>
      </c>
      <c r="B81" t="str">
        <f t="shared" si="9"/>
        <v>Other</v>
      </c>
      <c r="C81" s="2">
        <v>979</v>
      </c>
      <c r="D81" s="2">
        <v>1920</v>
      </c>
      <c r="E81" s="2">
        <f t="shared" si="10"/>
        <v>941</v>
      </c>
      <c r="F81" s="3">
        <v>0.49</v>
      </c>
      <c r="G81" s="3" t="str">
        <f t="shared" si="7"/>
        <v>High Discount</v>
      </c>
      <c r="H81" s="2">
        <v>1</v>
      </c>
      <c r="I81" s="3" t="s">
        <v>59</v>
      </c>
      <c r="J81" s="4">
        <f t="shared" si="8"/>
        <v>5</v>
      </c>
      <c r="K81" t="str">
        <f t="shared" si="11"/>
        <v>Excellent</v>
      </c>
    </row>
    <row r="82" spans="1:11" x14ac:dyDescent="0.3">
      <c r="A82" s="9" t="s">
        <v>248</v>
      </c>
      <c r="B82" t="str">
        <f t="shared" si="9"/>
        <v>Other</v>
      </c>
      <c r="C82" s="2">
        <v>1460</v>
      </c>
      <c r="D82" s="2">
        <v>2290</v>
      </c>
      <c r="E82" s="2">
        <f t="shared" si="10"/>
        <v>830</v>
      </c>
      <c r="F82" s="3">
        <v>0.36</v>
      </c>
      <c r="G82" s="3" t="str">
        <f t="shared" si="7"/>
        <v>Medium Discount</v>
      </c>
      <c r="H82" s="2">
        <v>0</v>
      </c>
      <c r="I82" s="3" t="s">
        <v>325</v>
      </c>
      <c r="J82" s="4">
        <f t="shared" si="8"/>
        <v>0</v>
      </c>
      <c r="K82" t="str">
        <f t="shared" si="11"/>
        <v>Poor</v>
      </c>
    </row>
    <row r="83" spans="1:11" x14ac:dyDescent="0.3">
      <c r="A83" s="9" t="s">
        <v>251</v>
      </c>
      <c r="B83" t="str">
        <f t="shared" si="9"/>
        <v>Other</v>
      </c>
      <c r="C83" s="2">
        <v>1666</v>
      </c>
      <c r="D83" s="2">
        <v>1699</v>
      </c>
      <c r="E83" s="2">
        <f t="shared" si="10"/>
        <v>33</v>
      </c>
      <c r="F83" s="3">
        <v>0.02</v>
      </c>
      <c r="G83" s="3" t="str">
        <f t="shared" si="7"/>
        <v>Low Discount</v>
      </c>
      <c r="H83" s="2">
        <v>0</v>
      </c>
      <c r="I83" s="3" t="s">
        <v>325</v>
      </c>
      <c r="J83" s="4">
        <f t="shared" si="8"/>
        <v>0</v>
      </c>
      <c r="K83" t="str">
        <f t="shared" si="11"/>
        <v>Poor</v>
      </c>
    </row>
    <row r="84" spans="1:11" x14ac:dyDescent="0.3">
      <c r="A84" s="9" t="s">
        <v>253</v>
      </c>
      <c r="B84" t="str">
        <f t="shared" si="9"/>
        <v>Other</v>
      </c>
      <c r="C84" s="2">
        <v>330</v>
      </c>
      <c r="D84" s="2">
        <v>647</v>
      </c>
      <c r="E84" s="2">
        <f t="shared" si="10"/>
        <v>317</v>
      </c>
      <c r="F84" s="3">
        <v>0.49</v>
      </c>
      <c r="G84" s="3" t="str">
        <f t="shared" si="7"/>
        <v>High Discount</v>
      </c>
      <c r="H84" s="2">
        <v>1</v>
      </c>
      <c r="I84" s="3" t="s">
        <v>29</v>
      </c>
      <c r="J84" s="4">
        <f t="shared" si="8"/>
        <v>4</v>
      </c>
      <c r="K84" t="str">
        <f t="shared" si="11"/>
        <v>Average</v>
      </c>
    </row>
    <row r="85" spans="1:11" x14ac:dyDescent="0.3">
      <c r="A85" s="9" t="s">
        <v>154</v>
      </c>
      <c r="B85" t="str">
        <f t="shared" si="9"/>
        <v>Other</v>
      </c>
      <c r="C85" s="2">
        <v>176</v>
      </c>
      <c r="D85" s="2">
        <v>345</v>
      </c>
      <c r="E85" s="2">
        <f t="shared" si="10"/>
        <v>169</v>
      </c>
      <c r="F85" s="3">
        <v>0.49</v>
      </c>
      <c r="G85" s="3" t="str">
        <f t="shared" si="7"/>
        <v>High Discount</v>
      </c>
      <c r="H85" s="2">
        <v>0</v>
      </c>
      <c r="I85" s="3" t="s">
        <v>325</v>
      </c>
      <c r="J85" s="4">
        <f t="shared" si="8"/>
        <v>0</v>
      </c>
      <c r="K85" t="str">
        <f t="shared" si="11"/>
        <v>Poor</v>
      </c>
    </row>
    <row r="86" spans="1:11" x14ac:dyDescent="0.3">
      <c r="A86" s="9" t="s">
        <v>256</v>
      </c>
      <c r="B86" t="str">
        <f t="shared" si="9"/>
        <v>Other</v>
      </c>
      <c r="C86" s="2">
        <v>1466</v>
      </c>
      <c r="D86" s="2">
        <v>1699</v>
      </c>
      <c r="E86" s="2">
        <f t="shared" si="10"/>
        <v>233</v>
      </c>
      <c r="F86" s="3">
        <v>0.14000000000000001</v>
      </c>
      <c r="G86" s="3" t="str">
        <f t="shared" si="7"/>
        <v>Low Discount</v>
      </c>
      <c r="H86" s="2">
        <v>0</v>
      </c>
      <c r="I86" s="3" t="s">
        <v>325</v>
      </c>
      <c r="J86" s="4">
        <f t="shared" si="8"/>
        <v>0</v>
      </c>
      <c r="K86" t="str">
        <f t="shared" si="11"/>
        <v>Poor</v>
      </c>
    </row>
    <row r="87" spans="1:11" x14ac:dyDescent="0.3">
      <c r="A87" s="9" t="s">
        <v>258</v>
      </c>
      <c r="B87" t="str">
        <f t="shared" si="9"/>
        <v>Other</v>
      </c>
      <c r="C87" s="2">
        <v>274</v>
      </c>
      <c r="D87" s="2">
        <v>537</v>
      </c>
      <c r="E87" s="2">
        <f t="shared" si="10"/>
        <v>263</v>
      </c>
      <c r="F87" s="3">
        <v>0.49</v>
      </c>
      <c r="G87" s="3" t="str">
        <f t="shared" si="7"/>
        <v>High Discount</v>
      </c>
      <c r="H87" s="2">
        <v>0</v>
      </c>
      <c r="I87" s="3" t="s">
        <v>325</v>
      </c>
      <c r="J87" s="4">
        <f t="shared" si="8"/>
        <v>0</v>
      </c>
      <c r="K87" t="str">
        <f t="shared" si="11"/>
        <v>Poor</v>
      </c>
    </row>
    <row r="88" spans="1:11" x14ac:dyDescent="0.3">
      <c r="A88" s="9" t="s">
        <v>261</v>
      </c>
      <c r="B88" t="str">
        <f t="shared" si="9"/>
        <v>Other</v>
      </c>
      <c r="C88" s="2">
        <v>799</v>
      </c>
      <c r="D88" s="2">
        <v>900</v>
      </c>
      <c r="E88" s="2">
        <f t="shared" si="10"/>
        <v>101</v>
      </c>
      <c r="F88" s="3">
        <v>0.11</v>
      </c>
      <c r="G88" s="3" t="str">
        <f t="shared" si="7"/>
        <v>Low Discount</v>
      </c>
      <c r="H88" s="2">
        <v>0</v>
      </c>
      <c r="I88" s="3" t="s">
        <v>325</v>
      </c>
      <c r="J88" s="4">
        <f t="shared" si="8"/>
        <v>0</v>
      </c>
      <c r="K88" t="str">
        <f t="shared" si="11"/>
        <v>Poor</v>
      </c>
    </row>
    <row r="89" spans="1:11" x14ac:dyDescent="0.3">
      <c r="A89" s="9" t="s">
        <v>175</v>
      </c>
      <c r="B89" t="str">
        <f t="shared" si="9"/>
        <v>Tools &amp; Equipment</v>
      </c>
      <c r="C89" s="2">
        <v>657</v>
      </c>
      <c r="D89" s="2">
        <v>1288</v>
      </c>
      <c r="E89" s="2">
        <f t="shared" si="10"/>
        <v>631</v>
      </c>
      <c r="F89" s="3">
        <v>0.49</v>
      </c>
      <c r="G89" s="3" t="str">
        <f t="shared" si="7"/>
        <v>High Discount</v>
      </c>
      <c r="H89" s="2">
        <v>0</v>
      </c>
      <c r="I89" s="3" t="s">
        <v>325</v>
      </c>
      <c r="J89" s="4">
        <f t="shared" si="8"/>
        <v>0</v>
      </c>
      <c r="K89" t="str">
        <f t="shared" si="11"/>
        <v>Poor</v>
      </c>
    </row>
    <row r="90" spans="1:11" x14ac:dyDescent="0.3">
      <c r="A90" s="9" t="s">
        <v>264</v>
      </c>
      <c r="B90" t="str">
        <f t="shared" si="9"/>
        <v>Bags &amp; Storage</v>
      </c>
      <c r="C90" s="2">
        <v>1468</v>
      </c>
      <c r="D90" s="2">
        <v>1699</v>
      </c>
      <c r="E90" s="2">
        <f t="shared" si="10"/>
        <v>231</v>
      </c>
      <c r="F90" s="3">
        <v>0.14000000000000001</v>
      </c>
      <c r="G90" s="3" t="str">
        <f t="shared" si="7"/>
        <v>Low Discount</v>
      </c>
      <c r="H90" s="2">
        <v>0</v>
      </c>
      <c r="I90" s="3" t="s">
        <v>325</v>
      </c>
      <c r="J90" s="4">
        <f t="shared" si="8"/>
        <v>0</v>
      </c>
      <c r="K90" t="str">
        <f t="shared" si="11"/>
        <v>Poor</v>
      </c>
    </row>
    <row r="91" spans="1:11" x14ac:dyDescent="0.3">
      <c r="A91" s="9" t="s">
        <v>266</v>
      </c>
      <c r="B91" t="str">
        <f t="shared" si="9"/>
        <v>Bags &amp; Storage</v>
      </c>
      <c r="C91" s="2">
        <v>630</v>
      </c>
      <c r="D91" s="2">
        <v>1100</v>
      </c>
      <c r="E91" s="2">
        <f t="shared" si="10"/>
        <v>470</v>
      </c>
      <c r="F91" s="3">
        <v>0.43</v>
      </c>
      <c r="G91" s="3" t="str">
        <f t="shared" si="7"/>
        <v>High Discount</v>
      </c>
      <c r="H91" s="2">
        <v>0</v>
      </c>
      <c r="I91" s="3" t="s">
        <v>325</v>
      </c>
      <c r="J91" s="4">
        <f t="shared" si="8"/>
        <v>0</v>
      </c>
      <c r="K91" t="str">
        <f t="shared" si="11"/>
        <v>Poor</v>
      </c>
    </row>
    <row r="92" spans="1:11" x14ac:dyDescent="0.3">
      <c r="A92" s="9" t="s">
        <v>269</v>
      </c>
      <c r="B92" t="str">
        <f t="shared" si="9"/>
        <v>Other</v>
      </c>
      <c r="C92" s="2">
        <v>850</v>
      </c>
      <c r="D92" s="2">
        <v>1700</v>
      </c>
      <c r="E92" s="2">
        <f t="shared" si="10"/>
        <v>850</v>
      </c>
      <c r="F92" s="3">
        <v>0.5</v>
      </c>
      <c r="G92" s="3" t="str">
        <f t="shared" si="7"/>
        <v>High Discount</v>
      </c>
      <c r="H92" s="2">
        <v>0</v>
      </c>
      <c r="I92" s="3" t="s">
        <v>325</v>
      </c>
      <c r="J92" s="4">
        <f t="shared" si="8"/>
        <v>0</v>
      </c>
      <c r="K92" t="str">
        <f t="shared" si="11"/>
        <v>Poor</v>
      </c>
    </row>
    <row r="93" spans="1:11" x14ac:dyDescent="0.3">
      <c r="A93" s="9" t="s">
        <v>272</v>
      </c>
      <c r="B93" t="str">
        <f t="shared" si="9"/>
        <v>Other</v>
      </c>
      <c r="C93" s="2">
        <v>1300</v>
      </c>
      <c r="D93" s="2">
        <v>2500</v>
      </c>
      <c r="E93" s="2">
        <f t="shared" si="10"/>
        <v>1200</v>
      </c>
      <c r="F93" s="3">
        <v>0.48</v>
      </c>
      <c r="G93" s="3" t="str">
        <f t="shared" si="7"/>
        <v>High Discount</v>
      </c>
      <c r="H93" s="2">
        <v>0</v>
      </c>
      <c r="I93" s="3" t="s">
        <v>325</v>
      </c>
      <c r="J93" s="4">
        <f t="shared" si="8"/>
        <v>0</v>
      </c>
      <c r="K93" t="str">
        <f t="shared" si="11"/>
        <v>Poor</v>
      </c>
    </row>
    <row r="94" spans="1:11" x14ac:dyDescent="0.3">
      <c r="A94" s="9" t="s">
        <v>274</v>
      </c>
      <c r="B94" t="str">
        <f t="shared" si="9"/>
        <v>Tools &amp; Equipment</v>
      </c>
      <c r="C94" s="2">
        <v>105</v>
      </c>
      <c r="D94" s="2">
        <v>200</v>
      </c>
      <c r="E94" s="2">
        <f t="shared" si="10"/>
        <v>95</v>
      </c>
      <c r="F94" s="3">
        <v>0.48</v>
      </c>
      <c r="G94" s="3" t="str">
        <f t="shared" si="7"/>
        <v>High Discount</v>
      </c>
      <c r="H94" s="2">
        <v>0</v>
      </c>
      <c r="I94" s="3" t="s">
        <v>325</v>
      </c>
      <c r="J94" s="4">
        <f t="shared" si="8"/>
        <v>0</v>
      </c>
      <c r="K94" t="str">
        <f t="shared" si="11"/>
        <v>Poor</v>
      </c>
    </row>
    <row r="95" spans="1:11" x14ac:dyDescent="0.3">
      <c r="A95" s="9" t="s">
        <v>277</v>
      </c>
      <c r="B95" t="str">
        <f t="shared" si="9"/>
        <v>Bags &amp; Storage</v>
      </c>
      <c r="C95" s="2">
        <v>899</v>
      </c>
      <c r="D95" s="2">
        <v>1699</v>
      </c>
      <c r="E95" s="2">
        <f t="shared" si="10"/>
        <v>800</v>
      </c>
      <c r="F95" s="3">
        <v>0.47</v>
      </c>
      <c r="G95" s="3" t="str">
        <f t="shared" si="7"/>
        <v>High Discount</v>
      </c>
      <c r="H95" s="2">
        <v>0</v>
      </c>
      <c r="I95" s="3" t="s">
        <v>325</v>
      </c>
      <c r="J95" s="4">
        <f t="shared" si="8"/>
        <v>0</v>
      </c>
      <c r="K95" t="str">
        <f t="shared" si="11"/>
        <v>Poor</v>
      </c>
    </row>
    <row r="96" spans="1:11" x14ac:dyDescent="0.3">
      <c r="A96" s="9" t="s">
        <v>278</v>
      </c>
      <c r="B96" t="str">
        <f t="shared" si="9"/>
        <v>Other</v>
      </c>
      <c r="C96" s="2">
        <v>1200</v>
      </c>
      <c r="D96" s="2">
        <v>2400</v>
      </c>
      <c r="E96" s="2">
        <f t="shared" si="10"/>
        <v>1200</v>
      </c>
      <c r="F96" s="3">
        <v>0.5</v>
      </c>
      <c r="G96" s="3" t="str">
        <f t="shared" si="7"/>
        <v>High Discount</v>
      </c>
      <c r="H96" s="2">
        <v>0</v>
      </c>
      <c r="I96" s="3" t="s">
        <v>325</v>
      </c>
      <c r="J96" s="4">
        <f t="shared" si="8"/>
        <v>0</v>
      </c>
      <c r="K96" t="str">
        <f t="shared" si="11"/>
        <v>Poor</v>
      </c>
    </row>
    <row r="97" spans="1:11" x14ac:dyDescent="0.3">
      <c r="A97" s="9" t="s">
        <v>280</v>
      </c>
      <c r="B97" t="str">
        <f t="shared" si="9"/>
        <v>Bags &amp; Storage</v>
      </c>
      <c r="C97" s="2">
        <v>1526</v>
      </c>
      <c r="D97" s="2">
        <v>1660</v>
      </c>
      <c r="E97" s="2">
        <f t="shared" si="10"/>
        <v>134</v>
      </c>
      <c r="F97" s="3">
        <v>0.08</v>
      </c>
      <c r="G97" s="3" t="str">
        <f t="shared" si="7"/>
        <v>Low Discount</v>
      </c>
      <c r="H97" s="2">
        <v>0</v>
      </c>
      <c r="I97" s="3" t="s">
        <v>325</v>
      </c>
      <c r="J97" s="4">
        <f t="shared" si="8"/>
        <v>0</v>
      </c>
      <c r="K97" t="str">
        <f t="shared" si="11"/>
        <v>Poor</v>
      </c>
    </row>
    <row r="98" spans="1:11" x14ac:dyDescent="0.3">
      <c r="A98" s="9" t="s">
        <v>282</v>
      </c>
      <c r="B98" t="str">
        <f t="shared" si="9"/>
        <v>Tools &amp; Equipment</v>
      </c>
      <c r="C98" s="2">
        <v>1462</v>
      </c>
      <c r="D98" s="2">
        <v>1499</v>
      </c>
      <c r="E98" s="2">
        <f t="shared" si="10"/>
        <v>37</v>
      </c>
      <c r="F98" s="3">
        <v>0.02</v>
      </c>
      <c r="G98" s="3" t="str">
        <f t="shared" ref="G98:G129" si="12">IF(F98&lt;0.2,"Low Discount",IF(F98&lt;=0.4,"Medium Discount","High Discount"))</f>
        <v>Low Discount</v>
      </c>
      <c r="H98" s="2">
        <v>0</v>
      </c>
      <c r="I98" s="3" t="s">
        <v>325</v>
      </c>
      <c r="J98" s="4">
        <f t="shared" ref="J98:J129" si="13">VALUE(SUBSTITUTE(I98,"out of 5",""))</f>
        <v>0</v>
      </c>
      <c r="K98" t="str">
        <f t="shared" si="11"/>
        <v>Poor</v>
      </c>
    </row>
    <row r="99" spans="1:11" x14ac:dyDescent="0.3">
      <c r="A99" s="9" t="s">
        <v>284</v>
      </c>
      <c r="B99" t="str">
        <f t="shared" si="9"/>
        <v>Tools &amp; Equipment</v>
      </c>
      <c r="C99" s="2">
        <v>248</v>
      </c>
      <c r="D99" s="2">
        <v>486</v>
      </c>
      <c r="E99" s="2">
        <f t="shared" si="10"/>
        <v>238</v>
      </c>
      <c r="F99" s="3">
        <v>0.49</v>
      </c>
      <c r="G99" s="3" t="str">
        <f t="shared" si="12"/>
        <v>High Discount</v>
      </c>
      <c r="H99" s="2">
        <v>0</v>
      </c>
      <c r="I99" s="3" t="s">
        <v>325</v>
      </c>
      <c r="J99" s="4">
        <f t="shared" si="13"/>
        <v>0</v>
      </c>
      <c r="K99" t="str">
        <f t="shared" si="11"/>
        <v>Poor</v>
      </c>
    </row>
    <row r="100" spans="1:11" x14ac:dyDescent="0.3">
      <c r="A100" s="9" t="s">
        <v>287</v>
      </c>
      <c r="B100" t="str">
        <f t="shared" si="9"/>
        <v>Other</v>
      </c>
      <c r="C100" s="2">
        <v>3546</v>
      </c>
      <c r="D100" s="2">
        <v>3699</v>
      </c>
      <c r="E100" s="2">
        <f t="shared" si="10"/>
        <v>153</v>
      </c>
      <c r="F100" s="3">
        <v>0.04</v>
      </c>
      <c r="G100" s="3" t="str">
        <f t="shared" si="12"/>
        <v>Low Discount</v>
      </c>
      <c r="H100" s="2">
        <v>0</v>
      </c>
      <c r="I100" s="3" t="s">
        <v>325</v>
      </c>
      <c r="J100" s="4">
        <f t="shared" si="13"/>
        <v>0</v>
      </c>
      <c r="K100" t="str">
        <f t="shared" si="11"/>
        <v>Poor</v>
      </c>
    </row>
    <row r="101" spans="1:11" x14ac:dyDescent="0.3">
      <c r="A101" s="9" t="s">
        <v>289</v>
      </c>
      <c r="B101" t="str">
        <f t="shared" si="9"/>
        <v>Other</v>
      </c>
      <c r="C101" s="2">
        <v>525</v>
      </c>
      <c r="D101" s="2">
        <v>1029</v>
      </c>
      <c r="E101" s="2">
        <f t="shared" si="10"/>
        <v>504</v>
      </c>
      <c r="F101" s="3">
        <v>0.49</v>
      </c>
      <c r="G101" s="3" t="str">
        <f t="shared" si="12"/>
        <v>High Discount</v>
      </c>
      <c r="H101" s="2">
        <v>0</v>
      </c>
      <c r="I101" s="3" t="s">
        <v>325</v>
      </c>
      <c r="J101" s="4">
        <f t="shared" si="13"/>
        <v>0</v>
      </c>
      <c r="K101" t="str">
        <f t="shared" si="11"/>
        <v>Poor</v>
      </c>
    </row>
    <row r="102" spans="1:11" x14ac:dyDescent="0.3">
      <c r="A102" s="9" t="s">
        <v>292</v>
      </c>
      <c r="B102" t="str">
        <f t="shared" si="9"/>
        <v>Other</v>
      </c>
      <c r="C102" s="2">
        <v>1080</v>
      </c>
      <c r="D102" s="2">
        <v>1874</v>
      </c>
      <c r="E102" s="2">
        <f t="shared" si="10"/>
        <v>794</v>
      </c>
      <c r="F102" s="3">
        <v>0.42</v>
      </c>
      <c r="G102" s="3" t="str">
        <f t="shared" si="12"/>
        <v>High Discount</v>
      </c>
      <c r="H102" s="2">
        <v>0</v>
      </c>
      <c r="I102" s="3" t="s">
        <v>325</v>
      </c>
      <c r="J102" s="4">
        <f t="shared" si="13"/>
        <v>0</v>
      </c>
      <c r="K102" t="str">
        <f t="shared" si="11"/>
        <v>Poor</v>
      </c>
    </row>
    <row r="103" spans="1:11" x14ac:dyDescent="0.3">
      <c r="A103" s="9" t="s">
        <v>295</v>
      </c>
      <c r="B103" t="str">
        <f t="shared" si="9"/>
        <v>Other</v>
      </c>
      <c r="C103" s="2">
        <v>3640</v>
      </c>
      <c r="D103" s="2">
        <v>4588</v>
      </c>
      <c r="E103" s="2">
        <f t="shared" si="10"/>
        <v>948</v>
      </c>
      <c r="F103" s="3">
        <v>0.21</v>
      </c>
      <c r="G103" s="3" t="str">
        <f t="shared" si="12"/>
        <v>Medium Discount</v>
      </c>
      <c r="H103" s="2">
        <v>1</v>
      </c>
      <c r="I103" s="3" t="s">
        <v>59</v>
      </c>
      <c r="J103" s="4">
        <f t="shared" si="13"/>
        <v>5</v>
      </c>
      <c r="K103" t="str">
        <f t="shared" si="11"/>
        <v>Excellent</v>
      </c>
    </row>
    <row r="104" spans="1:11" x14ac:dyDescent="0.3">
      <c r="A104" s="9" t="s">
        <v>298</v>
      </c>
      <c r="B104" t="str">
        <f t="shared" si="9"/>
        <v>Other</v>
      </c>
      <c r="C104" s="2">
        <v>1420</v>
      </c>
      <c r="D104" s="2">
        <v>2420</v>
      </c>
      <c r="E104" s="2">
        <f t="shared" si="10"/>
        <v>1000</v>
      </c>
      <c r="F104" s="3">
        <v>0.41</v>
      </c>
      <c r="G104" s="3" t="str">
        <f t="shared" si="12"/>
        <v>High Discount</v>
      </c>
      <c r="H104" s="2">
        <v>0</v>
      </c>
      <c r="I104" s="3" t="s">
        <v>325</v>
      </c>
      <c r="J104" s="4">
        <f t="shared" si="13"/>
        <v>0</v>
      </c>
      <c r="K104" t="str">
        <f t="shared" si="11"/>
        <v>Poor</v>
      </c>
    </row>
    <row r="105" spans="1:11" x14ac:dyDescent="0.3">
      <c r="A105" s="9" t="s">
        <v>301</v>
      </c>
      <c r="B105" t="str">
        <f t="shared" si="9"/>
        <v>Tools &amp; Equipment</v>
      </c>
      <c r="C105" s="2">
        <v>1875</v>
      </c>
      <c r="D105" s="2">
        <v>1899</v>
      </c>
      <c r="E105" s="2">
        <f t="shared" si="10"/>
        <v>24</v>
      </c>
      <c r="F105" s="3">
        <v>0.01</v>
      </c>
      <c r="G105" s="3" t="str">
        <f t="shared" si="12"/>
        <v>Low Discount</v>
      </c>
      <c r="H105" s="2">
        <v>0</v>
      </c>
      <c r="I105" s="3" t="s">
        <v>325</v>
      </c>
      <c r="J105" s="4">
        <f t="shared" si="13"/>
        <v>0</v>
      </c>
      <c r="K105" t="str">
        <f t="shared" si="11"/>
        <v>Poor</v>
      </c>
    </row>
    <row r="106" spans="1:11" x14ac:dyDescent="0.3">
      <c r="A106" s="9" t="s">
        <v>304</v>
      </c>
      <c r="B106" t="str">
        <f t="shared" si="9"/>
        <v>Bags &amp; Storage</v>
      </c>
      <c r="C106" s="2">
        <v>198</v>
      </c>
      <c r="D106" s="2">
        <v>260</v>
      </c>
      <c r="E106" s="2">
        <f t="shared" si="10"/>
        <v>62</v>
      </c>
      <c r="F106" s="3">
        <v>0.24</v>
      </c>
      <c r="G106" s="3" t="str">
        <f t="shared" si="12"/>
        <v>Medium Discount</v>
      </c>
      <c r="H106" s="2">
        <v>0</v>
      </c>
      <c r="I106" s="3" t="s">
        <v>325</v>
      </c>
      <c r="J106" s="4">
        <f t="shared" si="13"/>
        <v>0</v>
      </c>
      <c r="K106" t="str">
        <f t="shared" si="11"/>
        <v>Poor</v>
      </c>
    </row>
    <row r="107" spans="1:11" x14ac:dyDescent="0.3">
      <c r="A107" s="9" t="s">
        <v>307</v>
      </c>
      <c r="B107" t="str">
        <f t="shared" si="9"/>
        <v>Other</v>
      </c>
      <c r="C107" s="2">
        <v>1150</v>
      </c>
      <c r="D107" s="2">
        <v>1737</v>
      </c>
      <c r="E107" s="2">
        <f t="shared" si="10"/>
        <v>587</v>
      </c>
      <c r="F107" s="3">
        <v>0.34</v>
      </c>
      <c r="G107" s="3" t="str">
        <f t="shared" si="12"/>
        <v>Medium Discount</v>
      </c>
      <c r="H107" s="2">
        <v>0</v>
      </c>
      <c r="I107" s="3" t="s">
        <v>325</v>
      </c>
      <c r="J107" s="4">
        <f t="shared" si="13"/>
        <v>0</v>
      </c>
      <c r="K107" t="str">
        <f t="shared" si="11"/>
        <v>Poor</v>
      </c>
    </row>
    <row r="108" spans="1:11" x14ac:dyDescent="0.3">
      <c r="A108" s="9" t="s">
        <v>310</v>
      </c>
      <c r="B108" t="str">
        <f t="shared" si="9"/>
        <v>Other</v>
      </c>
      <c r="C108" s="2">
        <v>1190</v>
      </c>
      <c r="D108" s="2">
        <v>1810</v>
      </c>
      <c r="E108" s="2">
        <f t="shared" si="10"/>
        <v>620</v>
      </c>
      <c r="F108" s="3">
        <v>0.34</v>
      </c>
      <c r="G108" s="3" t="str">
        <f t="shared" si="12"/>
        <v>Medium Discount</v>
      </c>
      <c r="H108" s="2">
        <v>0</v>
      </c>
      <c r="I108" s="3" t="s">
        <v>325</v>
      </c>
      <c r="J108" s="4">
        <f t="shared" si="13"/>
        <v>0</v>
      </c>
      <c r="K108" t="str">
        <f t="shared" si="11"/>
        <v>Poor</v>
      </c>
    </row>
    <row r="109" spans="1:11" x14ac:dyDescent="0.3">
      <c r="A109" s="9" t="s">
        <v>312</v>
      </c>
      <c r="B109" t="str">
        <f t="shared" si="9"/>
        <v>Other</v>
      </c>
      <c r="C109" s="2">
        <v>1658</v>
      </c>
      <c r="D109" s="2">
        <v>1699</v>
      </c>
      <c r="E109" s="2">
        <f t="shared" si="10"/>
        <v>41</v>
      </c>
      <c r="F109" s="3">
        <v>0.02</v>
      </c>
      <c r="G109" s="3" t="str">
        <f t="shared" si="12"/>
        <v>Low Discount</v>
      </c>
      <c r="H109" s="2">
        <v>0</v>
      </c>
      <c r="I109" s="3" t="s">
        <v>325</v>
      </c>
      <c r="J109" s="4">
        <f t="shared" si="13"/>
        <v>0</v>
      </c>
      <c r="K109" t="str">
        <f t="shared" si="11"/>
        <v>Poor</v>
      </c>
    </row>
    <row r="110" spans="1:11" x14ac:dyDescent="0.3">
      <c r="A110" s="9" t="s">
        <v>314</v>
      </c>
      <c r="B110" t="str">
        <f t="shared" si="9"/>
        <v>Other</v>
      </c>
      <c r="C110" s="2">
        <v>1768</v>
      </c>
      <c r="D110" s="2">
        <v>1799</v>
      </c>
      <c r="E110" s="2">
        <f t="shared" si="10"/>
        <v>31</v>
      </c>
      <c r="F110" s="3">
        <v>0.02</v>
      </c>
      <c r="G110" s="3" t="str">
        <f t="shared" si="12"/>
        <v>Low Discount</v>
      </c>
      <c r="H110" s="2">
        <v>0</v>
      </c>
      <c r="I110" s="3" t="s">
        <v>325</v>
      </c>
      <c r="J110" s="4">
        <f t="shared" si="13"/>
        <v>0</v>
      </c>
      <c r="K110" t="str">
        <f t="shared" si="11"/>
        <v>Poor</v>
      </c>
    </row>
    <row r="111" spans="1:11" x14ac:dyDescent="0.3">
      <c r="A111" s="9" t="s">
        <v>316</v>
      </c>
      <c r="B111" t="str">
        <f t="shared" si="9"/>
        <v>Other</v>
      </c>
      <c r="C111" s="2">
        <v>199</v>
      </c>
      <c r="D111" s="2">
        <v>553</v>
      </c>
      <c r="E111" s="2">
        <f t="shared" si="10"/>
        <v>354</v>
      </c>
      <c r="F111" s="3">
        <v>0.64</v>
      </c>
      <c r="G111" s="3" t="str">
        <f t="shared" si="12"/>
        <v>High Discount</v>
      </c>
      <c r="H111" s="2">
        <v>0</v>
      </c>
      <c r="I111" s="3" t="s">
        <v>325</v>
      </c>
      <c r="J111" s="4">
        <f t="shared" si="13"/>
        <v>0</v>
      </c>
      <c r="K111" t="str">
        <f t="shared" si="11"/>
        <v>Poor</v>
      </c>
    </row>
    <row r="112" spans="1:11" x14ac:dyDescent="0.3">
      <c r="A112" s="9" t="s">
        <v>318</v>
      </c>
      <c r="B112" t="str">
        <f t="shared" si="9"/>
        <v>Home Decor</v>
      </c>
      <c r="C112" s="2">
        <v>450</v>
      </c>
      <c r="D112" s="2">
        <v>900</v>
      </c>
      <c r="E112" s="2">
        <f t="shared" si="10"/>
        <v>450</v>
      </c>
      <c r="F112" s="3">
        <v>0.5</v>
      </c>
      <c r="G112" s="3" t="str">
        <f t="shared" si="12"/>
        <v>High Discount</v>
      </c>
      <c r="H112" s="2">
        <v>1</v>
      </c>
      <c r="I112" s="3" t="s">
        <v>319</v>
      </c>
      <c r="J112" s="4">
        <f t="shared" si="13"/>
        <v>2</v>
      </c>
      <c r="K112" t="str">
        <f t="shared" si="11"/>
        <v>Poor</v>
      </c>
    </row>
    <row r="113" spans="1:11" x14ac:dyDescent="0.3">
      <c r="A113" s="9" t="s">
        <v>320</v>
      </c>
      <c r="B113" t="str">
        <f t="shared" si="9"/>
        <v>Other</v>
      </c>
      <c r="C113" s="2">
        <v>169</v>
      </c>
      <c r="D113" s="2">
        <v>320</v>
      </c>
      <c r="E113" s="2">
        <f t="shared" si="10"/>
        <v>151</v>
      </c>
      <c r="F113" s="3">
        <v>0.47</v>
      </c>
      <c r="G113" s="3" t="str">
        <f t="shared" si="12"/>
        <v>High Discount</v>
      </c>
      <c r="H113" s="2">
        <v>0</v>
      </c>
      <c r="I113" s="3" t="s">
        <v>325</v>
      </c>
      <c r="J113" s="4">
        <f t="shared" si="13"/>
        <v>0</v>
      </c>
      <c r="K113" t="str">
        <f t="shared" si="11"/>
        <v>Poor</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006C3-C275-4E0C-A668-BC98FE2E29F3}">
  <dimension ref="A1"/>
  <sheetViews>
    <sheetView topLeftCell="A13" workbookViewId="0">
      <selection activeCell="S19" sqref="S19"/>
    </sheetView>
  </sheetViews>
  <sheetFormatPr defaultRowHeight="14.4" x14ac:dyDescent="0.3"/>
  <cols>
    <col min="1"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502E8-1B09-4EE7-A622-854B368371D6}">
  <dimension ref="A1:K113"/>
  <sheetViews>
    <sheetView workbookViewId="0">
      <selection activeCell="A6" activeCellId="4" sqref="A2:XFD2 A3:XFD3 A4:XFD4 A5:XFD5 A6:XFD6"/>
    </sheetView>
  </sheetViews>
  <sheetFormatPr defaultRowHeight="14.4" x14ac:dyDescent="0.3"/>
  <cols>
    <col min="1" max="1" width="87.88671875" bestFit="1" customWidth="1"/>
    <col min="2" max="2" width="17.33203125" customWidth="1"/>
    <col min="3" max="3" width="18.33203125" customWidth="1"/>
    <col min="4" max="4" width="14.77734375" customWidth="1"/>
    <col min="5" max="5" width="26.6640625" customWidth="1"/>
    <col min="6" max="6" width="13" customWidth="1"/>
    <col min="7" max="7" width="18" customWidth="1"/>
    <col min="8" max="8" width="8.88671875" customWidth="1"/>
    <col min="9" max="9" width="10.44140625" bestFit="1" customWidth="1"/>
    <col min="10" max="10" width="9" customWidth="1"/>
    <col min="11" max="11" width="16.77734375" customWidth="1"/>
  </cols>
  <sheetData>
    <row r="1" spans="1:11" x14ac:dyDescent="0.3">
      <c r="A1" t="s">
        <v>323</v>
      </c>
      <c r="B1" t="s">
        <v>347</v>
      </c>
      <c r="C1" t="s">
        <v>330</v>
      </c>
      <c r="D1" t="s">
        <v>331</v>
      </c>
      <c r="E1" t="s">
        <v>332</v>
      </c>
      <c r="F1" t="s">
        <v>324</v>
      </c>
      <c r="G1" t="s">
        <v>334</v>
      </c>
      <c r="H1" t="s">
        <v>4</v>
      </c>
      <c r="I1" t="s">
        <v>5</v>
      </c>
      <c r="J1" t="s">
        <v>326</v>
      </c>
      <c r="K1" t="s">
        <v>333</v>
      </c>
    </row>
    <row r="2" spans="1:11" x14ac:dyDescent="0.3">
      <c r="A2" t="s">
        <v>75</v>
      </c>
      <c r="B2" t="s">
        <v>341</v>
      </c>
      <c r="C2">
        <v>1860</v>
      </c>
      <c r="D2">
        <v>3220</v>
      </c>
      <c r="E2">
        <v>1360</v>
      </c>
      <c r="F2">
        <v>0.42</v>
      </c>
      <c r="G2" t="s">
        <v>350</v>
      </c>
      <c r="H2">
        <v>0</v>
      </c>
      <c r="I2" t="s">
        <v>325</v>
      </c>
      <c r="J2">
        <v>0</v>
      </c>
      <c r="K2" t="s">
        <v>359</v>
      </c>
    </row>
    <row r="3" spans="1:11" x14ac:dyDescent="0.3">
      <c r="A3" t="s">
        <v>328</v>
      </c>
      <c r="B3" t="s">
        <v>348</v>
      </c>
      <c r="C3">
        <v>2200</v>
      </c>
      <c r="D3">
        <v>4080</v>
      </c>
      <c r="E3">
        <v>1880</v>
      </c>
      <c r="F3">
        <v>0.46</v>
      </c>
      <c r="G3" t="s">
        <v>350</v>
      </c>
      <c r="H3">
        <v>0</v>
      </c>
      <c r="I3" t="s">
        <v>325</v>
      </c>
      <c r="J3">
        <v>0</v>
      </c>
      <c r="K3" t="s">
        <v>359</v>
      </c>
    </row>
    <row r="4" spans="1:11" x14ac:dyDescent="0.3">
      <c r="A4" t="s">
        <v>128</v>
      </c>
      <c r="B4" t="s">
        <v>342</v>
      </c>
      <c r="C4">
        <v>2750</v>
      </c>
      <c r="D4">
        <v>4471</v>
      </c>
      <c r="E4">
        <v>1721</v>
      </c>
      <c r="F4">
        <v>0.38</v>
      </c>
      <c r="G4" t="s">
        <v>349</v>
      </c>
      <c r="H4">
        <v>0</v>
      </c>
      <c r="I4" t="s">
        <v>325</v>
      </c>
      <c r="J4">
        <v>0</v>
      </c>
      <c r="K4" t="s">
        <v>359</v>
      </c>
    </row>
    <row r="5" spans="1:11" x14ac:dyDescent="0.3">
      <c r="A5" t="s">
        <v>131</v>
      </c>
      <c r="B5" t="s">
        <v>342</v>
      </c>
      <c r="C5">
        <v>475</v>
      </c>
      <c r="D5">
        <v>931</v>
      </c>
      <c r="E5">
        <v>456</v>
      </c>
      <c r="F5">
        <v>0.49</v>
      </c>
      <c r="G5" t="s">
        <v>350</v>
      </c>
      <c r="H5">
        <v>0</v>
      </c>
      <c r="I5" t="s">
        <v>325</v>
      </c>
      <c r="J5">
        <v>0</v>
      </c>
      <c r="K5" t="s">
        <v>359</v>
      </c>
    </row>
    <row r="6" spans="1:11" x14ac:dyDescent="0.3">
      <c r="A6" t="s">
        <v>134</v>
      </c>
      <c r="B6" t="s">
        <v>342</v>
      </c>
      <c r="C6">
        <v>238</v>
      </c>
      <c r="D6">
        <v>476</v>
      </c>
      <c r="E6">
        <v>238</v>
      </c>
      <c r="F6">
        <v>0.5</v>
      </c>
      <c r="G6" t="s">
        <v>350</v>
      </c>
      <c r="H6">
        <v>0</v>
      </c>
      <c r="I6" t="s">
        <v>325</v>
      </c>
      <c r="J6">
        <v>0</v>
      </c>
      <c r="K6" t="s">
        <v>359</v>
      </c>
    </row>
    <row r="7" spans="1:11" x14ac:dyDescent="0.3">
      <c r="A7" t="s">
        <v>137</v>
      </c>
      <c r="B7" t="s">
        <v>343</v>
      </c>
      <c r="C7">
        <v>610</v>
      </c>
      <c r="D7">
        <v>1060</v>
      </c>
      <c r="E7">
        <v>450</v>
      </c>
      <c r="F7">
        <v>0.42</v>
      </c>
      <c r="G7" t="s">
        <v>350</v>
      </c>
      <c r="H7">
        <v>0</v>
      </c>
      <c r="I7" t="s">
        <v>325</v>
      </c>
      <c r="J7">
        <v>0</v>
      </c>
      <c r="K7" t="s">
        <v>359</v>
      </c>
    </row>
    <row r="8" spans="1:11" x14ac:dyDescent="0.3">
      <c r="A8" t="s">
        <v>140</v>
      </c>
      <c r="B8" t="s">
        <v>342</v>
      </c>
      <c r="C8">
        <v>2132</v>
      </c>
      <c r="D8">
        <v>2169</v>
      </c>
      <c r="E8">
        <v>37</v>
      </c>
      <c r="F8">
        <v>0.02</v>
      </c>
      <c r="G8" t="s">
        <v>351</v>
      </c>
      <c r="H8">
        <v>0</v>
      </c>
      <c r="I8" t="s">
        <v>325</v>
      </c>
      <c r="J8">
        <v>0</v>
      </c>
      <c r="K8" t="s">
        <v>359</v>
      </c>
    </row>
    <row r="9" spans="1:11" x14ac:dyDescent="0.3">
      <c r="A9" t="s">
        <v>143</v>
      </c>
      <c r="B9" t="s">
        <v>342</v>
      </c>
      <c r="C9">
        <v>999</v>
      </c>
      <c r="D9">
        <v>2000</v>
      </c>
      <c r="E9">
        <v>1001</v>
      </c>
      <c r="F9">
        <v>0.5</v>
      </c>
      <c r="G9" t="s">
        <v>350</v>
      </c>
      <c r="H9">
        <v>0</v>
      </c>
      <c r="I9" t="s">
        <v>325</v>
      </c>
      <c r="J9">
        <v>0</v>
      </c>
      <c r="K9" t="s">
        <v>359</v>
      </c>
    </row>
    <row r="10" spans="1:11" x14ac:dyDescent="0.3">
      <c r="A10" t="s">
        <v>145</v>
      </c>
      <c r="B10" t="s">
        <v>342</v>
      </c>
      <c r="C10">
        <v>1190</v>
      </c>
      <c r="D10">
        <v>1785</v>
      </c>
      <c r="E10">
        <v>595</v>
      </c>
      <c r="F10">
        <v>0.33</v>
      </c>
      <c r="G10" t="s">
        <v>349</v>
      </c>
      <c r="H10">
        <v>0</v>
      </c>
      <c r="I10" t="s">
        <v>325</v>
      </c>
      <c r="J10">
        <v>0</v>
      </c>
      <c r="K10" t="s">
        <v>359</v>
      </c>
    </row>
    <row r="11" spans="1:11" x14ac:dyDescent="0.3">
      <c r="A11" t="s">
        <v>148</v>
      </c>
      <c r="B11" t="s">
        <v>342</v>
      </c>
      <c r="C11">
        <v>671</v>
      </c>
      <c r="D11">
        <v>1316</v>
      </c>
      <c r="E11">
        <v>645</v>
      </c>
      <c r="F11">
        <v>0.49</v>
      </c>
      <c r="G11" t="s">
        <v>350</v>
      </c>
      <c r="H11">
        <v>0</v>
      </c>
      <c r="I11" t="s">
        <v>325</v>
      </c>
      <c r="J11">
        <v>0</v>
      </c>
      <c r="K11" t="s">
        <v>359</v>
      </c>
    </row>
    <row r="12" spans="1:11" x14ac:dyDescent="0.3">
      <c r="A12" t="s">
        <v>151</v>
      </c>
      <c r="B12" t="s">
        <v>342</v>
      </c>
      <c r="C12">
        <v>1200</v>
      </c>
      <c r="D12">
        <v>1950</v>
      </c>
      <c r="E12">
        <v>750</v>
      </c>
      <c r="F12">
        <v>0.38</v>
      </c>
      <c r="G12" t="s">
        <v>349</v>
      </c>
      <c r="H12">
        <v>0</v>
      </c>
      <c r="I12" t="s">
        <v>325</v>
      </c>
      <c r="J12">
        <v>0</v>
      </c>
      <c r="K12" t="s">
        <v>359</v>
      </c>
    </row>
    <row r="13" spans="1:11" x14ac:dyDescent="0.3">
      <c r="A13" t="s">
        <v>154</v>
      </c>
      <c r="B13" t="s">
        <v>342</v>
      </c>
      <c r="C13">
        <v>199</v>
      </c>
      <c r="D13">
        <v>504</v>
      </c>
      <c r="E13">
        <v>305</v>
      </c>
      <c r="F13">
        <v>0.61</v>
      </c>
      <c r="G13" t="s">
        <v>350</v>
      </c>
      <c r="H13">
        <v>0</v>
      </c>
      <c r="I13" t="s">
        <v>325</v>
      </c>
      <c r="J13">
        <v>0</v>
      </c>
      <c r="K13" t="s">
        <v>359</v>
      </c>
    </row>
    <row r="14" spans="1:11" x14ac:dyDescent="0.3">
      <c r="A14" t="s">
        <v>157</v>
      </c>
      <c r="B14" t="s">
        <v>343</v>
      </c>
      <c r="C14">
        <v>299</v>
      </c>
      <c r="D14">
        <v>600</v>
      </c>
      <c r="E14">
        <v>301</v>
      </c>
      <c r="F14">
        <v>0.5</v>
      </c>
      <c r="G14" t="s">
        <v>350</v>
      </c>
      <c r="H14">
        <v>0</v>
      </c>
      <c r="I14" t="s">
        <v>325</v>
      </c>
      <c r="J14">
        <v>0</v>
      </c>
      <c r="K14" t="s">
        <v>359</v>
      </c>
    </row>
    <row r="15" spans="1:11" x14ac:dyDescent="0.3">
      <c r="A15" t="s">
        <v>160</v>
      </c>
      <c r="B15" t="s">
        <v>343</v>
      </c>
      <c r="C15">
        <v>1660</v>
      </c>
      <c r="D15">
        <v>1699</v>
      </c>
      <c r="E15">
        <v>39</v>
      </c>
      <c r="F15">
        <v>0.02</v>
      </c>
      <c r="G15" t="s">
        <v>351</v>
      </c>
      <c r="H15">
        <v>0</v>
      </c>
      <c r="I15" t="s">
        <v>325</v>
      </c>
      <c r="J15">
        <v>0</v>
      </c>
      <c r="K15" t="s">
        <v>359</v>
      </c>
    </row>
    <row r="16" spans="1:11" x14ac:dyDescent="0.3">
      <c r="A16" t="s">
        <v>163</v>
      </c>
      <c r="B16" t="s">
        <v>348</v>
      </c>
      <c r="C16">
        <v>299</v>
      </c>
      <c r="D16">
        <v>384</v>
      </c>
      <c r="E16">
        <v>85</v>
      </c>
      <c r="F16">
        <v>0.22</v>
      </c>
      <c r="G16" t="s">
        <v>349</v>
      </c>
      <c r="H16">
        <v>0</v>
      </c>
      <c r="I16" t="s">
        <v>325</v>
      </c>
      <c r="J16">
        <v>0</v>
      </c>
      <c r="K16" t="s">
        <v>359</v>
      </c>
    </row>
    <row r="17" spans="1:11" x14ac:dyDescent="0.3">
      <c r="A17" t="s">
        <v>165</v>
      </c>
      <c r="B17" t="s">
        <v>342</v>
      </c>
      <c r="C17">
        <v>1459</v>
      </c>
      <c r="D17">
        <v>1499</v>
      </c>
      <c r="E17">
        <v>40</v>
      </c>
      <c r="F17">
        <v>0.03</v>
      </c>
      <c r="G17" t="s">
        <v>351</v>
      </c>
      <c r="H17">
        <v>0</v>
      </c>
      <c r="I17" t="s">
        <v>325</v>
      </c>
      <c r="J17">
        <v>0</v>
      </c>
      <c r="K17" t="s">
        <v>359</v>
      </c>
    </row>
    <row r="18" spans="1:11" x14ac:dyDescent="0.3">
      <c r="A18" t="s">
        <v>168</v>
      </c>
      <c r="B18" t="s">
        <v>342</v>
      </c>
      <c r="C18">
        <v>799</v>
      </c>
      <c r="D18">
        <v>1343</v>
      </c>
      <c r="E18">
        <v>544</v>
      </c>
      <c r="F18">
        <v>0.41</v>
      </c>
      <c r="G18" t="s">
        <v>350</v>
      </c>
      <c r="H18">
        <v>0</v>
      </c>
      <c r="I18" t="s">
        <v>325</v>
      </c>
      <c r="J18">
        <v>0</v>
      </c>
      <c r="K18" t="s">
        <v>359</v>
      </c>
    </row>
    <row r="19" spans="1:11" x14ac:dyDescent="0.3">
      <c r="A19" t="s">
        <v>170</v>
      </c>
      <c r="B19" t="s">
        <v>342</v>
      </c>
      <c r="C19">
        <v>499</v>
      </c>
      <c r="D19">
        <v>900</v>
      </c>
      <c r="E19">
        <v>401</v>
      </c>
      <c r="F19">
        <v>0.45</v>
      </c>
      <c r="G19" t="s">
        <v>350</v>
      </c>
      <c r="H19">
        <v>0</v>
      </c>
      <c r="I19" t="s">
        <v>325</v>
      </c>
      <c r="J19">
        <v>0</v>
      </c>
      <c r="K19" t="s">
        <v>359</v>
      </c>
    </row>
    <row r="20" spans="1:11" x14ac:dyDescent="0.3">
      <c r="A20" t="s">
        <v>173</v>
      </c>
      <c r="B20" t="s">
        <v>342</v>
      </c>
      <c r="C20">
        <v>699</v>
      </c>
      <c r="D20">
        <v>1343</v>
      </c>
      <c r="E20">
        <v>644</v>
      </c>
      <c r="F20">
        <v>0.48</v>
      </c>
      <c r="G20" t="s">
        <v>350</v>
      </c>
      <c r="H20">
        <v>0</v>
      </c>
      <c r="I20" t="s">
        <v>325</v>
      </c>
      <c r="J20">
        <v>0</v>
      </c>
      <c r="K20" t="s">
        <v>359</v>
      </c>
    </row>
    <row r="21" spans="1:11" x14ac:dyDescent="0.3">
      <c r="A21" t="s">
        <v>175</v>
      </c>
      <c r="B21" t="s">
        <v>343</v>
      </c>
      <c r="C21">
        <v>799</v>
      </c>
      <c r="D21">
        <v>1567</v>
      </c>
      <c r="E21">
        <v>768</v>
      </c>
      <c r="F21">
        <v>0.49</v>
      </c>
      <c r="G21" t="s">
        <v>350</v>
      </c>
      <c r="H21">
        <v>0</v>
      </c>
      <c r="I21" t="s">
        <v>325</v>
      </c>
      <c r="J21">
        <v>0</v>
      </c>
      <c r="K21" t="s">
        <v>359</v>
      </c>
    </row>
    <row r="22" spans="1:11" x14ac:dyDescent="0.3">
      <c r="A22" t="s">
        <v>177</v>
      </c>
      <c r="B22" t="s">
        <v>343</v>
      </c>
      <c r="C22">
        <v>2799</v>
      </c>
      <c r="D22">
        <v>3810</v>
      </c>
      <c r="E22">
        <v>1011</v>
      </c>
      <c r="F22">
        <v>0.27</v>
      </c>
      <c r="G22" t="s">
        <v>349</v>
      </c>
      <c r="H22">
        <v>0</v>
      </c>
      <c r="I22" t="s">
        <v>325</v>
      </c>
      <c r="J22">
        <v>0</v>
      </c>
      <c r="K22" t="s">
        <v>359</v>
      </c>
    </row>
    <row r="23" spans="1:11" x14ac:dyDescent="0.3">
      <c r="A23" t="s">
        <v>170</v>
      </c>
      <c r="B23" t="s">
        <v>342</v>
      </c>
      <c r="C23">
        <v>399</v>
      </c>
      <c r="D23">
        <v>896</v>
      </c>
      <c r="E23">
        <v>497</v>
      </c>
      <c r="F23">
        <v>0.55000000000000004</v>
      </c>
      <c r="G23" t="s">
        <v>350</v>
      </c>
      <c r="H23">
        <v>0</v>
      </c>
      <c r="I23" t="s">
        <v>325</v>
      </c>
      <c r="J23">
        <v>0</v>
      </c>
      <c r="K23" t="s">
        <v>359</v>
      </c>
    </row>
    <row r="24" spans="1:11" x14ac:dyDescent="0.3">
      <c r="A24" t="s">
        <v>232</v>
      </c>
      <c r="B24" t="s">
        <v>340</v>
      </c>
      <c r="C24">
        <v>790</v>
      </c>
      <c r="D24">
        <v>1485</v>
      </c>
      <c r="E24">
        <v>695</v>
      </c>
      <c r="F24">
        <v>0.47</v>
      </c>
      <c r="G24" t="s">
        <v>350</v>
      </c>
      <c r="H24">
        <v>0</v>
      </c>
      <c r="I24" t="s">
        <v>325</v>
      </c>
      <c r="J24">
        <v>0</v>
      </c>
      <c r="K24" t="s">
        <v>359</v>
      </c>
    </row>
    <row r="25" spans="1:11" x14ac:dyDescent="0.3">
      <c r="A25" t="s">
        <v>235</v>
      </c>
      <c r="B25" t="s">
        <v>342</v>
      </c>
      <c r="C25">
        <v>690</v>
      </c>
      <c r="D25">
        <v>1200</v>
      </c>
      <c r="E25">
        <v>510</v>
      </c>
      <c r="F25">
        <v>0.43</v>
      </c>
      <c r="G25" t="s">
        <v>350</v>
      </c>
      <c r="H25">
        <v>0</v>
      </c>
      <c r="I25" t="s">
        <v>325</v>
      </c>
      <c r="J25">
        <v>0</v>
      </c>
      <c r="K25" t="s">
        <v>359</v>
      </c>
    </row>
    <row r="26" spans="1:11" x14ac:dyDescent="0.3">
      <c r="A26" t="s">
        <v>237</v>
      </c>
      <c r="B26" t="s">
        <v>342</v>
      </c>
      <c r="C26">
        <v>1732</v>
      </c>
      <c r="D26">
        <v>1799</v>
      </c>
      <c r="E26">
        <v>67</v>
      </c>
      <c r="F26">
        <v>0.04</v>
      </c>
      <c r="G26" t="s">
        <v>351</v>
      </c>
      <c r="H26">
        <v>0</v>
      </c>
      <c r="I26" t="s">
        <v>325</v>
      </c>
      <c r="J26">
        <v>0</v>
      </c>
      <c r="K26" t="s">
        <v>359</v>
      </c>
    </row>
    <row r="27" spans="1:11" x14ac:dyDescent="0.3">
      <c r="A27" t="s">
        <v>240</v>
      </c>
      <c r="B27" t="s">
        <v>343</v>
      </c>
      <c r="C27">
        <v>230</v>
      </c>
      <c r="D27">
        <v>450</v>
      </c>
      <c r="E27">
        <v>220</v>
      </c>
      <c r="F27">
        <v>0.49</v>
      </c>
      <c r="G27" t="s">
        <v>350</v>
      </c>
      <c r="H27">
        <v>0</v>
      </c>
      <c r="I27" t="s">
        <v>325</v>
      </c>
      <c r="J27">
        <v>0</v>
      </c>
      <c r="K27" t="s">
        <v>359</v>
      </c>
    </row>
    <row r="28" spans="1:11" x14ac:dyDescent="0.3">
      <c r="A28" t="s">
        <v>248</v>
      </c>
      <c r="B28" t="s">
        <v>342</v>
      </c>
      <c r="C28">
        <v>1460</v>
      </c>
      <c r="D28">
        <v>2290</v>
      </c>
      <c r="E28">
        <v>830</v>
      </c>
      <c r="F28">
        <v>0.36</v>
      </c>
      <c r="G28" t="s">
        <v>349</v>
      </c>
      <c r="H28">
        <v>0</v>
      </c>
      <c r="I28" t="s">
        <v>325</v>
      </c>
      <c r="J28">
        <v>0</v>
      </c>
      <c r="K28" t="s">
        <v>359</v>
      </c>
    </row>
    <row r="29" spans="1:11" x14ac:dyDescent="0.3">
      <c r="A29" t="s">
        <v>251</v>
      </c>
      <c r="B29" t="s">
        <v>342</v>
      </c>
      <c r="C29">
        <v>1666</v>
      </c>
      <c r="D29">
        <v>1699</v>
      </c>
      <c r="E29">
        <v>33</v>
      </c>
      <c r="F29">
        <v>0.02</v>
      </c>
      <c r="G29" t="s">
        <v>351</v>
      </c>
      <c r="H29">
        <v>0</v>
      </c>
      <c r="I29" t="s">
        <v>325</v>
      </c>
      <c r="J29">
        <v>0</v>
      </c>
      <c r="K29" t="s">
        <v>359</v>
      </c>
    </row>
    <row r="30" spans="1:11" x14ac:dyDescent="0.3">
      <c r="A30" t="s">
        <v>154</v>
      </c>
      <c r="B30" t="s">
        <v>342</v>
      </c>
      <c r="C30">
        <v>176</v>
      </c>
      <c r="D30">
        <v>345</v>
      </c>
      <c r="E30">
        <v>169</v>
      </c>
      <c r="F30">
        <v>0.49</v>
      </c>
      <c r="G30" t="s">
        <v>350</v>
      </c>
      <c r="H30">
        <v>0</v>
      </c>
      <c r="I30" t="s">
        <v>325</v>
      </c>
      <c r="J30">
        <v>0</v>
      </c>
      <c r="K30" t="s">
        <v>359</v>
      </c>
    </row>
    <row r="31" spans="1:11" x14ac:dyDescent="0.3">
      <c r="A31" t="s">
        <v>256</v>
      </c>
      <c r="B31" t="s">
        <v>342</v>
      </c>
      <c r="C31">
        <v>1466</v>
      </c>
      <c r="D31">
        <v>1699</v>
      </c>
      <c r="E31">
        <v>233</v>
      </c>
      <c r="F31">
        <v>0.14000000000000001</v>
      </c>
      <c r="G31" t="s">
        <v>351</v>
      </c>
      <c r="H31">
        <v>0</v>
      </c>
      <c r="I31" t="s">
        <v>325</v>
      </c>
      <c r="J31">
        <v>0</v>
      </c>
      <c r="K31" t="s">
        <v>359</v>
      </c>
    </row>
    <row r="32" spans="1:11" x14ac:dyDescent="0.3">
      <c r="A32" t="s">
        <v>258</v>
      </c>
      <c r="B32" t="s">
        <v>342</v>
      </c>
      <c r="C32">
        <v>274</v>
      </c>
      <c r="D32">
        <v>537</v>
      </c>
      <c r="E32">
        <v>263</v>
      </c>
      <c r="F32">
        <v>0.49</v>
      </c>
      <c r="G32" t="s">
        <v>350</v>
      </c>
      <c r="H32">
        <v>0</v>
      </c>
      <c r="I32" t="s">
        <v>325</v>
      </c>
      <c r="J32">
        <v>0</v>
      </c>
      <c r="K32" t="s">
        <v>359</v>
      </c>
    </row>
    <row r="33" spans="1:11" x14ac:dyDescent="0.3">
      <c r="A33" t="s">
        <v>261</v>
      </c>
      <c r="B33" t="s">
        <v>342</v>
      </c>
      <c r="C33">
        <v>799</v>
      </c>
      <c r="D33">
        <v>900</v>
      </c>
      <c r="E33">
        <v>101</v>
      </c>
      <c r="F33">
        <v>0.11</v>
      </c>
      <c r="G33" t="s">
        <v>351</v>
      </c>
      <c r="H33">
        <v>0</v>
      </c>
      <c r="I33" t="s">
        <v>325</v>
      </c>
      <c r="J33">
        <v>0</v>
      </c>
      <c r="K33" t="s">
        <v>359</v>
      </c>
    </row>
    <row r="34" spans="1:11" x14ac:dyDescent="0.3">
      <c r="A34" t="s">
        <v>175</v>
      </c>
      <c r="B34" t="s">
        <v>343</v>
      </c>
      <c r="C34">
        <v>657</v>
      </c>
      <c r="D34">
        <v>1288</v>
      </c>
      <c r="E34">
        <v>631</v>
      </c>
      <c r="F34">
        <v>0.49</v>
      </c>
      <c r="G34" t="s">
        <v>350</v>
      </c>
      <c r="H34">
        <v>0</v>
      </c>
      <c r="I34" t="s">
        <v>325</v>
      </c>
      <c r="J34">
        <v>0</v>
      </c>
      <c r="K34" t="s">
        <v>359</v>
      </c>
    </row>
    <row r="35" spans="1:11" x14ac:dyDescent="0.3">
      <c r="A35" t="s">
        <v>264</v>
      </c>
      <c r="B35" t="s">
        <v>348</v>
      </c>
      <c r="C35">
        <v>1468</v>
      </c>
      <c r="D35">
        <v>1699</v>
      </c>
      <c r="E35">
        <v>231</v>
      </c>
      <c r="F35">
        <v>0.14000000000000001</v>
      </c>
      <c r="G35" t="s">
        <v>351</v>
      </c>
      <c r="H35">
        <v>0</v>
      </c>
      <c r="I35" t="s">
        <v>325</v>
      </c>
      <c r="J35">
        <v>0</v>
      </c>
      <c r="K35" t="s">
        <v>359</v>
      </c>
    </row>
    <row r="36" spans="1:11" x14ac:dyDescent="0.3">
      <c r="A36" t="s">
        <v>266</v>
      </c>
      <c r="B36" t="s">
        <v>348</v>
      </c>
      <c r="C36">
        <v>630</v>
      </c>
      <c r="D36">
        <v>1100</v>
      </c>
      <c r="E36">
        <v>470</v>
      </c>
      <c r="F36">
        <v>0.43</v>
      </c>
      <c r="G36" t="s">
        <v>350</v>
      </c>
      <c r="H36">
        <v>0</v>
      </c>
      <c r="I36" t="s">
        <v>325</v>
      </c>
      <c r="J36">
        <v>0</v>
      </c>
      <c r="K36" t="s">
        <v>359</v>
      </c>
    </row>
    <row r="37" spans="1:11" x14ac:dyDescent="0.3">
      <c r="A37" t="s">
        <v>269</v>
      </c>
      <c r="B37" t="s">
        <v>342</v>
      </c>
      <c r="C37">
        <v>850</v>
      </c>
      <c r="D37">
        <v>1700</v>
      </c>
      <c r="E37">
        <v>850</v>
      </c>
      <c r="F37">
        <v>0.5</v>
      </c>
      <c r="G37" t="s">
        <v>350</v>
      </c>
      <c r="H37">
        <v>0</v>
      </c>
      <c r="I37" t="s">
        <v>325</v>
      </c>
      <c r="J37">
        <v>0</v>
      </c>
      <c r="K37" t="s">
        <v>359</v>
      </c>
    </row>
    <row r="38" spans="1:11" x14ac:dyDescent="0.3">
      <c r="A38" t="s">
        <v>272</v>
      </c>
      <c r="B38" t="s">
        <v>342</v>
      </c>
      <c r="C38">
        <v>1300</v>
      </c>
      <c r="D38">
        <v>2500</v>
      </c>
      <c r="E38">
        <v>1200</v>
      </c>
      <c r="F38">
        <v>0.48</v>
      </c>
      <c r="G38" t="s">
        <v>350</v>
      </c>
      <c r="H38">
        <v>0</v>
      </c>
      <c r="I38" t="s">
        <v>325</v>
      </c>
      <c r="J38">
        <v>0</v>
      </c>
      <c r="K38" t="s">
        <v>359</v>
      </c>
    </row>
    <row r="39" spans="1:11" x14ac:dyDescent="0.3">
      <c r="A39" t="s">
        <v>274</v>
      </c>
      <c r="B39" t="s">
        <v>343</v>
      </c>
      <c r="C39">
        <v>105</v>
      </c>
      <c r="D39">
        <v>200</v>
      </c>
      <c r="E39">
        <v>95</v>
      </c>
      <c r="F39">
        <v>0.48</v>
      </c>
      <c r="G39" t="s">
        <v>350</v>
      </c>
      <c r="H39">
        <v>0</v>
      </c>
      <c r="I39" t="s">
        <v>325</v>
      </c>
      <c r="J39">
        <v>0</v>
      </c>
      <c r="K39" t="s">
        <v>359</v>
      </c>
    </row>
    <row r="40" spans="1:11" x14ac:dyDescent="0.3">
      <c r="A40" t="s">
        <v>277</v>
      </c>
      <c r="B40" t="s">
        <v>348</v>
      </c>
      <c r="C40">
        <v>899</v>
      </c>
      <c r="D40">
        <v>1699</v>
      </c>
      <c r="E40">
        <v>800</v>
      </c>
      <c r="F40">
        <v>0.47</v>
      </c>
      <c r="G40" t="s">
        <v>350</v>
      </c>
      <c r="H40">
        <v>0</v>
      </c>
      <c r="I40" t="s">
        <v>325</v>
      </c>
      <c r="J40">
        <v>0</v>
      </c>
      <c r="K40" t="s">
        <v>359</v>
      </c>
    </row>
    <row r="41" spans="1:11" x14ac:dyDescent="0.3">
      <c r="A41" t="s">
        <v>278</v>
      </c>
      <c r="B41" t="s">
        <v>342</v>
      </c>
      <c r="C41">
        <v>1200</v>
      </c>
      <c r="D41">
        <v>2400</v>
      </c>
      <c r="E41">
        <v>1200</v>
      </c>
      <c r="F41">
        <v>0.5</v>
      </c>
      <c r="G41" t="s">
        <v>350</v>
      </c>
      <c r="H41">
        <v>0</v>
      </c>
      <c r="I41" t="s">
        <v>325</v>
      </c>
      <c r="J41">
        <v>0</v>
      </c>
      <c r="K41" t="s">
        <v>359</v>
      </c>
    </row>
    <row r="42" spans="1:11" x14ac:dyDescent="0.3">
      <c r="A42" t="s">
        <v>280</v>
      </c>
      <c r="B42" t="s">
        <v>348</v>
      </c>
      <c r="C42">
        <v>1526</v>
      </c>
      <c r="D42">
        <v>1660</v>
      </c>
      <c r="E42">
        <v>134</v>
      </c>
      <c r="F42">
        <v>0.08</v>
      </c>
      <c r="G42" t="s">
        <v>351</v>
      </c>
      <c r="H42">
        <v>0</v>
      </c>
      <c r="I42" t="s">
        <v>325</v>
      </c>
      <c r="J42">
        <v>0</v>
      </c>
      <c r="K42" t="s">
        <v>359</v>
      </c>
    </row>
    <row r="43" spans="1:11" x14ac:dyDescent="0.3">
      <c r="A43" t="s">
        <v>282</v>
      </c>
      <c r="B43" t="s">
        <v>343</v>
      </c>
      <c r="C43">
        <v>1462</v>
      </c>
      <c r="D43">
        <v>1499</v>
      </c>
      <c r="E43">
        <v>37</v>
      </c>
      <c r="F43">
        <v>0.02</v>
      </c>
      <c r="G43" t="s">
        <v>351</v>
      </c>
      <c r="H43">
        <v>0</v>
      </c>
      <c r="I43" t="s">
        <v>325</v>
      </c>
      <c r="J43">
        <v>0</v>
      </c>
      <c r="K43" t="s">
        <v>359</v>
      </c>
    </row>
    <row r="44" spans="1:11" x14ac:dyDescent="0.3">
      <c r="A44" t="s">
        <v>284</v>
      </c>
      <c r="B44" t="s">
        <v>343</v>
      </c>
      <c r="C44">
        <v>248</v>
      </c>
      <c r="D44">
        <v>486</v>
      </c>
      <c r="E44">
        <v>238</v>
      </c>
      <c r="F44">
        <v>0.49</v>
      </c>
      <c r="G44" t="s">
        <v>350</v>
      </c>
      <c r="H44">
        <v>0</v>
      </c>
      <c r="I44" t="s">
        <v>325</v>
      </c>
      <c r="J44">
        <v>0</v>
      </c>
      <c r="K44" t="s">
        <v>359</v>
      </c>
    </row>
    <row r="45" spans="1:11" x14ac:dyDescent="0.3">
      <c r="A45" t="s">
        <v>287</v>
      </c>
      <c r="B45" t="s">
        <v>342</v>
      </c>
      <c r="C45">
        <v>3546</v>
      </c>
      <c r="D45">
        <v>3699</v>
      </c>
      <c r="E45">
        <v>153</v>
      </c>
      <c r="F45">
        <v>0.04</v>
      </c>
      <c r="G45" t="s">
        <v>351</v>
      </c>
      <c r="H45">
        <v>0</v>
      </c>
      <c r="I45" t="s">
        <v>325</v>
      </c>
      <c r="J45">
        <v>0</v>
      </c>
      <c r="K45" t="s">
        <v>359</v>
      </c>
    </row>
    <row r="46" spans="1:11" x14ac:dyDescent="0.3">
      <c r="A46" t="s">
        <v>289</v>
      </c>
      <c r="B46" t="s">
        <v>342</v>
      </c>
      <c r="C46">
        <v>525</v>
      </c>
      <c r="D46">
        <v>1029</v>
      </c>
      <c r="E46">
        <v>504</v>
      </c>
      <c r="F46">
        <v>0.49</v>
      </c>
      <c r="G46" t="s">
        <v>350</v>
      </c>
      <c r="H46">
        <v>0</v>
      </c>
      <c r="I46" t="s">
        <v>325</v>
      </c>
      <c r="J46">
        <v>0</v>
      </c>
      <c r="K46" t="s">
        <v>359</v>
      </c>
    </row>
    <row r="47" spans="1:11" x14ac:dyDescent="0.3">
      <c r="A47" t="s">
        <v>292</v>
      </c>
      <c r="B47" t="s">
        <v>342</v>
      </c>
      <c r="C47">
        <v>1080</v>
      </c>
      <c r="D47">
        <v>1874</v>
      </c>
      <c r="E47">
        <v>794</v>
      </c>
      <c r="F47">
        <v>0.42</v>
      </c>
      <c r="G47" t="s">
        <v>350</v>
      </c>
      <c r="H47">
        <v>0</v>
      </c>
      <c r="I47" t="s">
        <v>325</v>
      </c>
      <c r="J47">
        <v>0</v>
      </c>
      <c r="K47" t="s">
        <v>359</v>
      </c>
    </row>
    <row r="48" spans="1:11" x14ac:dyDescent="0.3">
      <c r="A48" t="s">
        <v>298</v>
      </c>
      <c r="B48" t="s">
        <v>342</v>
      </c>
      <c r="C48">
        <v>1420</v>
      </c>
      <c r="D48">
        <v>2420</v>
      </c>
      <c r="E48">
        <v>1000</v>
      </c>
      <c r="F48">
        <v>0.41</v>
      </c>
      <c r="G48" t="s">
        <v>350</v>
      </c>
      <c r="H48">
        <v>0</v>
      </c>
      <c r="I48" t="s">
        <v>325</v>
      </c>
      <c r="J48">
        <v>0</v>
      </c>
      <c r="K48" t="s">
        <v>359</v>
      </c>
    </row>
    <row r="49" spans="1:11" x14ac:dyDescent="0.3">
      <c r="A49" t="s">
        <v>301</v>
      </c>
      <c r="B49" t="s">
        <v>343</v>
      </c>
      <c r="C49">
        <v>1875</v>
      </c>
      <c r="D49">
        <v>1899</v>
      </c>
      <c r="E49">
        <v>24</v>
      </c>
      <c r="F49">
        <v>0.01</v>
      </c>
      <c r="G49" t="s">
        <v>351</v>
      </c>
      <c r="H49">
        <v>0</v>
      </c>
      <c r="I49" t="s">
        <v>325</v>
      </c>
      <c r="J49">
        <v>0</v>
      </c>
      <c r="K49" t="s">
        <v>359</v>
      </c>
    </row>
    <row r="50" spans="1:11" x14ac:dyDescent="0.3">
      <c r="A50" t="s">
        <v>304</v>
      </c>
      <c r="B50" t="s">
        <v>348</v>
      </c>
      <c r="C50">
        <v>198</v>
      </c>
      <c r="D50">
        <v>260</v>
      </c>
      <c r="E50">
        <v>62</v>
      </c>
      <c r="F50">
        <v>0.24</v>
      </c>
      <c r="G50" t="s">
        <v>349</v>
      </c>
      <c r="H50">
        <v>0</v>
      </c>
      <c r="I50" t="s">
        <v>325</v>
      </c>
      <c r="J50">
        <v>0</v>
      </c>
      <c r="K50" t="s">
        <v>359</v>
      </c>
    </row>
    <row r="51" spans="1:11" x14ac:dyDescent="0.3">
      <c r="A51" t="s">
        <v>307</v>
      </c>
      <c r="B51" t="s">
        <v>342</v>
      </c>
      <c r="C51">
        <v>1150</v>
      </c>
      <c r="D51">
        <v>1737</v>
      </c>
      <c r="E51">
        <v>587</v>
      </c>
      <c r="F51">
        <v>0.34</v>
      </c>
      <c r="G51" t="s">
        <v>349</v>
      </c>
      <c r="H51">
        <v>0</v>
      </c>
      <c r="I51" t="s">
        <v>325</v>
      </c>
      <c r="J51">
        <v>0</v>
      </c>
      <c r="K51" t="s">
        <v>359</v>
      </c>
    </row>
    <row r="52" spans="1:11" x14ac:dyDescent="0.3">
      <c r="A52" t="s">
        <v>310</v>
      </c>
      <c r="B52" t="s">
        <v>342</v>
      </c>
      <c r="C52">
        <v>1190</v>
      </c>
      <c r="D52">
        <v>1810</v>
      </c>
      <c r="E52">
        <v>620</v>
      </c>
      <c r="F52">
        <v>0.34</v>
      </c>
      <c r="G52" t="s">
        <v>349</v>
      </c>
      <c r="H52">
        <v>0</v>
      </c>
      <c r="I52" t="s">
        <v>325</v>
      </c>
      <c r="J52">
        <v>0</v>
      </c>
      <c r="K52" t="s">
        <v>359</v>
      </c>
    </row>
    <row r="53" spans="1:11" x14ac:dyDescent="0.3">
      <c r="A53" t="s">
        <v>312</v>
      </c>
      <c r="B53" t="s">
        <v>342</v>
      </c>
      <c r="C53">
        <v>1658</v>
      </c>
      <c r="D53">
        <v>1699</v>
      </c>
      <c r="E53">
        <v>41</v>
      </c>
      <c r="F53">
        <v>0.02</v>
      </c>
      <c r="G53" t="s">
        <v>351</v>
      </c>
      <c r="H53">
        <v>0</v>
      </c>
      <c r="I53" t="s">
        <v>325</v>
      </c>
      <c r="J53">
        <v>0</v>
      </c>
      <c r="K53" t="s">
        <v>359</v>
      </c>
    </row>
    <row r="54" spans="1:11" x14ac:dyDescent="0.3">
      <c r="A54" t="s">
        <v>314</v>
      </c>
      <c r="B54" t="s">
        <v>342</v>
      </c>
      <c r="C54">
        <v>1768</v>
      </c>
      <c r="D54">
        <v>1799</v>
      </c>
      <c r="E54">
        <v>31</v>
      </c>
      <c r="F54">
        <v>0.02</v>
      </c>
      <c r="G54" t="s">
        <v>351</v>
      </c>
      <c r="H54">
        <v>0</v>
      </c>
      <c r="I54" t="s">
        <v>325</v>
      </c>
      <c r="J54">
        <v>0</v>
      </c>
      <c r="K54" t="s">
        <v>359</v>
      </c>
    </row>
    <row r="55" spans="1:11" x14ac:dyDescent="0.3">
      <c r="A55" t="s">
        <v>316</v>
      </c>
      <c r="B55" t="s">
        <v>342</v>
      </c>
      <c r="C55">
        <v>199</v>
      </c>
      <c r="D55">
        <v>553</v>
      </c>
      <c r="E55">
        <v>354</v>
      </c>
      <c r="F55">
        <v>0.64</v>
      </c>
      <c r="G55" t="s">
        <v>350</v>
      </c>
      <c r="H55">
        <v>0</v>
      </c>
      <c r="I55" t="s">
        <v>325</v>
      </c>
      <c r="J55">
        <v>0</v>
      </c>
      <c r="K55" t="s">
        <v>359</v>
      </c>
    </row>
    <row r="56" spans="1:11" x14ac:dyDescent="0.3">
      <c r="A56" t="s">
        <v>320</v>
      </c>
      <c r="B56" t="s">
        <v>342</v>
      </c>
      <c r="C56">
        <v>169</v>
      </c>
      <c r="D56">
        <v>320</v>
      </c>
      <c r="E56">
        <v>151</v>
      </c>
      <c r="F56">
        <v>0.47</v>
      </c>
      <c r="G56" t="s">
        <v>350</v>
      </c>
      <c r="H56">
        <v>0</v>
      </c>
      <c r="I56" t="s">
        <v>325</v>
      </c>
      <c r="J56">
        <v>0</v>
      </c>
      <c r="K56" t="s">
        <v>359</v>
      </c>
    </row>
    <row r="57" spans="1:11" x14ac:dyDescent="0.3">
      <c r="A57" t="s">
        <v>318</v>
      </c>
      <c r="B57" t="s">
        <v>341</v>
      </c>
      <c r="C57">
        <v>450</v>
      </c>
      <c r="D57">
        <v>900</v>
      </c>
      <c r="E57">
        <v>450</v>
      </c>
      <c r="F57">
        <v>0.5</v>
      </c>
      <c r="G57" t="s">
        <v>350</v>
      </c>
      <c r="H57">
        <v>1</v>
      </c>
      <c r="I57" t="s">
        <v>319</v>
      </c>
      <c r="J57">
        <v>2</v>
      </c>
      <c r="K57" t="s">
        <v>359</v>
      </c>
    </row>
    <row r="58" spans="1:11" x14ac:dyDescent="0.3">
      <c r="A58" t="s">
        <v>190</v>
      </c>
      <c r="B58" t="s">
        <v>343</v>
      </c>
      <c r="C58">
        <v>2115</v>
      </c>
      <c r="D58">
        <v>4700</v>
      </c>
      <c r="E58">
        <v>2585</v>
      </c>
      <c r="F58">
        <v>0.55000000000000004</v>
      </c>
      <c r="G58" t="s">
        <v>350</v>
      </c>
      <c r="H58">
        <v>13</v>
      </c>
      <c r="I58" t="s">
        <v>193</v>
      </c>
      <c r="J58">
        <v>2.1</v>
      </c>
      <c r="K58" t="s">
        <v>359</v>
      </c>
    </row>
    <row r="59" spans="1:11" x14ac:dyDescent="0.3">
      <c r="A59" t="s">
        <v>229</v>
      </c>
      <c r="B59" t="s">
        <v>340</v>
      </c>
      <c r="C59">
        <v>1570</v>
      </c>
      <c r="D59">
        <v>2988</v>
      </c>
      <c r="E59">
        <v>1418</v>
      </c>
      <c r="F59">
        <v>0.47</v>
      </c>
      <c r="G59" t="s">
        <v>350</v>
      </c>
      <c r="H59">
        <v>7</v>
      </c>
      <c r="I59" t="s">
        <v>193</v>
      </c>
      <c r="J59">
        <v>2.1</v>
      </c>
      <c r="K59" t="s">
        <v>359</v>
      </c>
    </row>
    <row r="60" spans="1:11" x14ac:dyDescent="0.3">
      <c r="A60" t="s">
        <v>206</v>
      </c>
      <c r="B60" t="s">
        <v>341</v>
      </c>
      <c r="C60">
        <v>990</v>
      </c>
      <c r="D60">
        <v>1814</v>
      </c>
      <c r="E60">
        <v>824</v>
      </c>
      <c r="F60">
        <v>0.45</v>
      </c>
      <c r="G60" t="s">
        <v>350</v>
      </c>
      <c r="H60">
        <v>6</v>
      </c>
      <c r="I60" t="s">
        <v>208</v>
      </c>
      <c r="J60">
        <v>2.2000000000000002</v>
      </c>
      <c r="K60" t="s">
        <v>359</v>
      </c>
    </row>
    <row r="61" spans="1:11" x14ac:dyDescent="0.3">
      <c r="A61" t="s">
        <v>227</v>
      </c>
      <c r="B61" t="s">
        <v>343</v>
      </c>
      <c r="C61">
        <v>968</v>
      </c>
      <c r="D61">
        <v>1814</v>
      </c>
      <c r="E61">
        <v>846</v>
      </c>
      <c r="F61">
        <v>0.47</v>
      </c>
      <c r="G61" t="s">
        <v>350</v>
      </c>
      <c r="H61">
        <v>6</v>
      </c>
      <c r="I61" t="s">
        <v>208</v>
      </c>
      <c r="J61">
        <v>2.2000000000000002</v>
      </c>
      <c r="K61" t="s">
        <v>359</v>
      </c>
    </row>
    <row r="62" spans="1:11" x14ac:dyDescent="0.3">
      <c r="A62" t="s">
        <v>209</v>
      </c>
      <c r="B62" t="s">
        <v>342</v>
      </c>
      <c r="C62">
        <v>1000</v>
      </c>
      <c r="D62">
        <v>2000</v>
      </c>
      <c r="E62">
        <v>1000</v>
      </c>
      <c r="F62">
        <v>0.5</v>
      </c>
      <c r="G62" t="s">
        <v>350</v>
      </c>
      <c r="H62">
        <v>7</v>
      </c>
      <c r="I62" t="s">
        <v>211</v>
      </c>
      <c r="J62">
        <v>2.2999999999999998</v>
      </c>
      <c r="K62" t="s">
        <v>359</v>
      </c>
    </row>
    <row r="63" spans="1:11" x14ac:dyDescent="0.3">
      <c r="A63" t="s">
        <v>221</v>
      </c>
      <c r="B63" t="s">
        <v>342</v>
      </c>
      <c r="C63">
        <v>345</v>
      </c>
      <c r="D63">
        <v>602</v>
      </c>
      <c r="E63">
        <v>257</v>
      </c>
      <c r="F63">
        <v>0.43</v>
      </c>
      <c r="G63" t="s">
        <v>350</v>
      </c>
      <c r="H63">
        <v>6</v>
      </c>
      <c r="I63" t="s">
        <v>211</v>
      </c>
      <c r="J63">
        <v>2.2999999999999998</v>
      </c>
      <c r="K63" t="s">
        <v>359</v>
      </c>
    </row>
    <row r="64" spans="1:11" x14ac:dyDescent="0.3">
      <c r="A64" t="s">
        <v>182</v>
      </c>
      <c r="B64" t="s">
        <v>343</v>
      </c>
      <c r="C64">
        <v>2170</v>
      </c>
      <c r="D64">
        <v>2500</v>
      </c>
      <c r="E64">
        <v>330</v>
      </c>
      <c r="F64">
        <v>0.13</v>
      </c>
      <c r="G64" t="s">
        <v>351</v>
      </c>
      <c r="H64">
        <v>6</v>
      </c>
      <c r="I64" t="s">
        <v>185</v>
      </c>
      <c r="J64">
        <v>2.5</v>
      </c>
      <c r="K64" t="s">
        <v>359</v>
      </c>
    </row>
    <row r="65" spans="1:11" x14ac:dyDescent="0.3">
      <c r="A65" t="s">
        <v>215</v>
      </c>
      <c r="B65" t="s">
        <v>348</v>
      </c>
      <c r="C65">
        <v>382</v>
      </c>
      <c r="D65">
        <v>700</v>
      </c>
      <c r="E65">
        <v>318</v>
      </c>
      <c r="F65">
        <v>0.45</v>
      </c>
      <c r="G65" t="s">
        <v>350</v>
      </c>
      <c r="H65">
        <v>17</v>
      </c>
      <c r="I65" t="s">
        <v>217</v>
      </c>
      <c r="J65">
        <v>2.6</v>
      </c>
      <c r="K65" t="s">
        <v>359</v>
      </c>
    </row>
    <row r="66" spans="1:11" x14ac:dyDescent="0.3">
      <c r="A66" t="s">
        <v>198</v>
      </c>
      <c r="B66" t="s">
        <v>342</v>
      </c>
      <c r="C66">
        <v>325</v>
      </c>
      <c r="D66">
        <v>680</v>
      </c>
      <c r="E66">
        <v>355</v>
      </c>
      <c r="F66">
        <v>0.52</v>
      </c>
      <c r="G66" t="s">
        <v>350</v>
      </c>
      <c r="H66">
        <v>15</v>
      </c>
      <c r="I66" t="s">
        <v>201</v>
      </c>
      <c r="J66">
        <v>2.7</v>
      </c>
      <c r="K66" t="s">
        <v>359</v>
      </c>
    </row>
    <row r="67" spans="1:11" x14ac:dyDescent="0.3">
      <c r="A67" t="s">
        <v>194</v>
      </c>
      <c r="B67" t="s">
        <v>340</v>
      </c>
      <c r="C67">
        <v>445</v>
      </c>
      <c r="D67">
        <v>873</v>
      </c>
      <c r="E67">
        <v>428</v>
      </c>
      <c r="F67">
        <v>0.49</v>
      </c>
      <c r="G67" t="s">
        <v>350</v>
      </c>
      <c r="H67">
        <v>69</v>
      </c>
      <c r="I67" t="s">
        <v>197</v>
      </c>
      <c r="J67">
        <v>2.8</v>
      </c>
      <c r="K67" t="s">
        <v>359</v>
      </c>
    </row>
    <row r="68" spans="1:11" x14ac:dyDescent="0.3">
      <c r="A68" t="s">
        <v>202</v>
      </c>
      <c r="B68" t="s">
        <v>340</v>
      </c>
      <c r="C68">
        <v>1220</v>
      </c>
      <c r="D68">
        <v>1555</v>
      </c>
      <c r="E68">
        <v>335</v>
      </c>
      <c r="F68">
        <v>0.22</v>
      </c>
      <c r="G68" t="s">
        <v>349</v>
      </c>
      <c r="H68">
        <v>16</v>
      </c>
      <c r="I68" t="s">
        <v>205</v>
      </c>
      <c r="J68">
        <v>2.9</v>
      </c>
      <c r="K68" t="s">
        <v>359</v>
      </c>
    </row>
    <row r="69" spans="1:11" x14ac:dyDescent="0.3">
      <c r="A69" t="s">
        <v>186</v>
      </c>
      <c r="B69" t="s">
        <v>342</v>
      </c>
      <c r="C69">
        <v>458</v>
      </c>
      <c r="D69">
        <v>986</v>
      </c>
      <c r="E69">
        <v>528</v>
      </c>
      <c r="F69">
        <v>0.54</v>
      </c>
      <c r="G69" t="s">
        <v>350</v>
      </c>
      <c r="H69">
        <v>10</v>
      </c>
      <c r="I69" t="s">
        <v>189</v>
      </c>
      <c r="J69">
        <v>3</v>
      </c>
      <c r="K69" t="s">
        <v>358</v>
      </c>
    </row>
    <row r="70" spans="1:11" x14ac:dyDescent="0.3">
      <c r="A70" t="s">
        <v>212</v>
      </c>
      <c r="B70" t="s">
        <v>343</v>
      </c>
      <c r="C70">
        <v>3750</v>
      </c>
      <c r="D70">
        <v>6143</v>
      </c>
      <c r="E70">
        <v>2393</v>
      </c>
      <c r="F70">
        <v>0.39</v>
      </c>
      <c r="G70" t="s">
        <v>349</v>
      </c>
      <c r="H70">
        <v>5</v>
      </c>
      <c r="I70" t="s">
        <v>189</v>
      </c>
      <c r="J70">
        <v>3</v>
      </c>
      <c r="K70" t="s">
        <v>358</v>
      </c>
    </row>
    <row r="71" spans="1:11" x14ac:dyDescent="0.3">
      <c r="A71" t="s">
        <v>218</v>
      </c>
      <c r="B71" t="s">
        <v>348</v>
      </c>
      <c r="C71">
        <v>2300</v>
      </c>
      <c r="D71">
        <v>3240</v>
      </c>
      <c r="E71">
        <v>940</v>
      </c>
      <c r="F71">
        <v>0.28999999999999998</v>
      </c>
      <c r="G71" t="s">
        <v>349</v>
      </c>
      <c r="H71">
        <v>5</v>
      </c>
      <c r="I71" t="s">
        <v>189</v>
      </c>
      <c r="J71">
        <v>3</v>
      </c>
      <c r="K71" t="s">
        <v>358</v>
      </c>
    </row>
    <row r="72" spans="1:11" x14ac:dyDescent="0.3">
      <c r="A72" t="s">
        <v>224</v>
      </c>
      <c r="B72" t="s">
        <v>342</v>
      </c>
      <c r="C72">
        <v>509</v>
      </c>
      <c r="D72">
        <v>899</v>
      </c>
      <c r="E72">
        <v>390</v>
      </c>
      <c r="F72">
        <v>0.43</v>
      </c>
      <c r="G72" t="s">
        <v>350</v>
      </c>
      <c r="H72">
        <v>5</v>
      </c>
      <c r="I72" t="s">
        <v>189</v>
      </c>
      <c r="J72">
        <v>3</v>
      </c>
      <c r="K72" t="s">
        <v>358</v>
      </c>
    </row>
    <row r="73" spans="1:11" x14ac:dyDescent="0.3">
      <c r="A73" t="s">
        <v>243</v>
      </c>
      <c r="B73" t="s">
        <v>342</v>
      </c>
      <c r="C73">
        <v>1189</v>
      </c>
      <c r="D73">
        <v>2199</v>
      </c>
      <c r="E73">
        <v>1010</v>
      </c>
      <c r="F73">
        <v>0.46</v>
      </c>
      <c r="G73" t="s">
        <v>350</v>
      </c>
      <c r="H73">
        <v>1</v>
      </c>
      <c r="I73" t="s">
        <v>189</v>
      </c>
      <c r="J73">
        <v>3</v>
      </c>
      <c r="K73" t="s">
        <v>358</v>
      </c>
    </row>
    <row r="74" spans="1:11" x14ac:dyDescent="0.3">
      <c r="A74" t="s">
        <v>71</v>
      </c>
      <c r="B74" t="s">
        <v>343</v>
      </c>
      <c r="C74">
        <v>38</v>
      </c>
      <c r="D74">
        <v>80</v>
      </c>
      <c r="E74">
        <v>42</v>
      </c>
      <c r="F74">
        <v>0.53</v>
      </c>
      <c r="G74" t="s">
        <v>350</v>
      </c>
      <c r="H74">
        <v>13</v>
      </c>
      <c r="I74" t="s">
        <v>74</v>
      </c>
      <c r="J74">
        <v>3.3</v>
      </c>
      <c r="K74" t="s">
        <v>358</v>
      </c>
    </row>
    <row r="75" spans="1:11" x14ac:dyDescent="0.3">
      <c r="A75" t="s">
        <v>38</v>
      </c>
      <c r="B75" t="s">
        <v>343</v>
      </c>
      <c r="C75">
        <v>1600</v>
      </c>
      <c r="D75">
        <v>2929</v>
      </c>
      <c r="E75">
        <v>1329</v>
      </c>
      <c r="F75">
        <v>0.45</v>
      </c>
      <c r="G75" t="s">
        <v>350</v>
      </c>
      <c r="H75">
        <v>5</v>
      </c>
      <c r="I75" t="s">
        <v>41</v>
      </c>
      <c r="J75">
        <v>3.8</v>
      </c>
      <c r="K75" t="s">
        <v>358</v>
      </c>
    </row>
    <row r="76" spans="1:11" x14ac:dyDescent="0.3">
      <c r="A76" t="s">
        <v>92</v>
      </c>
      <c r="B76" t="s">
        <v>348</v>
      </c>
      <c r="C76">
        <v>2880</v>
      </c>
      <c r="D76">
        <v>3520</v>
      </c>
      <c r="E76">
        <v>640</v>
      </c>
      <c r="F76">
        <v>0.18</v>
      </c>
      <c r="G76" t="s">
        <v>351</v>
      </c>
      <c r="H76">
        <v>12</v>
      </c>
      <c r="I76" t="s">
        <v>41</v>
      </c>
      <c r="J76">
        <v>3.8</v>
      </c>
      <c r="K76" t="s">
        <v>358</v>
      </c>
    </row>
    <row r="77" spans="1:11" x14ac:dyDescent="0.3">
      <c r="A77" t="s">
        <v>95</v>
      </c>
      <c r="B77" t="s">
        <v>342</v>
      </c>
      <c r="C77">
        <v>1350</v>
      </c>
      <c r="D77">
        <v>1990</v>
      </c>
      <c r="E77">
        <v>640</v>
      </c>
      <c r="F77">
        <v>0.32</v>
      </c>
      <c r="G77" t="s">
        <v>349</v>
      </c>
      <c r="H77">
        <v>13</v>
      </c>
      <c r="I77" t="s">
        <v>41</v>
      </c>
      <c r="J77">
        <v>3.8</v>
      </c>
      <c r="K77" t="s">
        <v>358</v>
      </c>
    </row>
    <row r="78" spans="1:11" x14ac:dyDescent="0.3">
      <c r="A78" t="s">
        <v>26</v>
      </c>
      <c r="B78" t="s">
        <v>343</v>
      </c>
      <c r="C78">
        <v>2999</v>
      </c>
      <c r="D78">
        <v>3290</v>
      </c>
      <c r="E78">
        <v>291</v>
      </c>
      <c r="F78">
        <v>0.09</v>
      </c>
      <c r="G78" t="s">
        <v>351</v>
      </c>
      <c r="H78">
        <v>15</v>
      </c>
      <c r="I78" t="s">
        <v>29</v>
      </c>
      <c r="J78">
        <v>4</v>
      </c>
      <c r="K78" t="s">
        <v>358</v>
      </c>
    </row>
    <row r="79" spans="1:11" x14ac:dyDescent="0.3">
      <c r="A79" t="s">
        <v>33</v>
      </c>
      <c r="B79" t="s">
        <v>340</v>
      </c>
      <c r="C79">
        <v>988</v>
      </c>
      <c r="D79">
        <v>1580</v>
      </c>
      <c r="E79">
        <v>592</v>
      </c>
      <c r="F79">
        <v>0.37</v>
      </c>
      <c r="G79" t="s">
        <v>349</v>
      </c>
      <c r="H79">
        <v>2</v>
      </c>
      <c r="I79" t="s">
        <v>29</v>
      </c>
      <c r="J79">
        <v>4</v>
      </c>
      <c r="K79" t="s">
        <v>358</v>
      </c>
    </row>
    <row r="80" spans="1:11" x14ac:dyDescent="0.3">
      <c r="A80" t="s">
        <v>78</v>
      </c>
      <c r="B80" t="s">
        <v>342</v>
      </c>
      <c r="C80">
        <v>880</v>
      </c>
      <c r="D80">
        <v>1350</v>
      </c>
      <c r="E80">
        <v>470</v>
      </c>
      <c r="F80">
        <v>0.35</v>
      </c>
      <c r="G80" t="s">
        <v>349</v>
      </c>
      <c r="H80">
        <v>6</v>
      </c>
      <c r="I80" t="s">
        <v>29</v>
      </c>
      <c r="J80">
        <v>4</v>
      </c>
      <c r="K80" t="s">
        <v>358</v>
      </c>
    </row>
    <row r="81" spans="1:11" x14ac:dyDescent="0.3">
      <c r="A81" t="s">
        <v>253</v>
      </c>
      <c r="B81" t="s">
        <v>342</v>
      </c>
      <c r="C81">
        <v>330</v>
      </c>
      <c r="D81">
        <v>647</v>
      </c>
      <c r="E81">
        <v>317</v>
      </c>
      <c r="F81">
        <v>0.49</v>
      </c>
      <c r="G81" t="s">
        <v>350</v>
      </c>
      <c r="H81">
        <v>1</v>
      </c>
      <c r="I81" t="s">
        <v>29</v>
      </c>
      <c r="J81">
        <v>4</v>
      </c>
      <c r="K81" t="s">
        <v>358</v>
      </c>
    </row>
    <row r="82" spans="1:11" x14ac:dyDescent="0.3">
      <c r="A82" t="s">
        <v>10</v>
      </c>
      <c r="B82" t="s">
        <v>341</v>
      </c>
      <c r="C82">
        <v>527</v>
      </c>
      <c r="D82">
        <v>999</v>
      </c>
      <c r="E82">
        <v>472</v>
      </c>
      <c r="F82">
        <v>0.47</v>
      </c>
      <c r="G82" t="s">
        <v>350</v>
      </c>
      <c r="H82">
        <v>14</v>
      </c>
      <c r="I82" t="s">
        <v>13</v>
      </c>
      <c r="J82">
        <v>4.0999999999999996</v>
      </c>
      <c r="K82" t="s">
        <v>358</v>
      </c>
    </row>
    <row r="83" spans="1:11" x14ac:dyDescent="0.3">
      <c r="A83" t="s">
        <v>42</v>
      </c>
      <c r="B83" t="s">
        <v>343</v>
      </c>
      <c r="C83">
        <v>799</v>
      </c>
      <c r="D83">
        <v>999</v>
      </c>
      <c r="E83">
        <v>200</v>
      </c>
      <c r="F83">
        <v>0.2</v>
      </c>
      <c r="G83" t="s">
        <v>349</v>
      </c>
      <c r="H83">
        <v>12</v>
      </c>
      <c r="I83" t="s">
        <v>13</v>
      </c>
      <c r="J83">
        <v>4.0999999999999996</v>
      </c>
      <c r="K83" t="s">
        <v>358</v>
      </c>
    </row>
    <row r="84" spans="1:11" x14ac:dyDescent="0.3">
      <c r="A84" t="s">
        <v>97</v>
      </c>
      <c r="B84" t="s">
        <v>343</v>
      </c>
      <c r="C84">
        <v>1758</v>
      </c>
      <c r="D84">
        <v>2499</v>
      </c>
      <c r="E84">
        <v>741</v>
      </c>
      <c r="F84">
        <v>0.3</v>
      </c>
      <c r="G84" t="s">
        <v>349</v>
      </c>
      <c r="H84">
        <v>20</v>
      </c>
      <c r="I84" t="s">
        <v>13</v>
      </c>
      <c r="J84">
        <v>4.0999999999999996</v>
      </c>
      <c r="K84" t="s">
        <v>358</v>
      </c>
    </row>
    <row r="85" spans="1:11" x14ac:dyDescent="0.3">
      <c r="A85" t="s">
        <v>53</v>
      </c>
      <c r="B85" t="s">
        <v>342</v>
      </c>
      <c r="C85">
        <v>1680</v>
      </c>
      <c r="D85">
        <v>2499</v>
      </c>
      <c r="E85">
        <v>819</v>
      </c>
      <c r="F85">
        <v>0.33</v>
      </c>
      <c r="G85" t="s">
        <v>349</v>
      </c>
      <c r="H85">
        <v>9</v>
      </c>
      <c r="I85" t="s">
        <v>55</v>
      </c>
      <c r="J85">
        <v>4.2</v>
      </c>
      <c r="K85" t="s">
        <v>358</v>
      </c>
    </row>
    <row r="86" spans="1:11" x14ac:dyDescent="0.3">
      <c r="A86" t="s">
        <v>85</v>
      </c>
      <c r="B86" t="s">
        <v>348</v>
      </c>
      <c r="C86">
        <v>2048</v>
      </c>
      <c r="D86">
        <v>4500</v>
      </c>
      <c r="E86">
        <v>2452</v>
      </c>
      <c r="F86">
        <v>0.54</v>
      </c>
      <c r="G86" t="s">
        <v>350</v>
      </c>
      <c r="H86">
        <v>7</v>
      </c>
      <c r="I86" t="s">
        <v>88</v>
      </c>
      <c r="J86">
        <v>4.3</v>
      </c>
      <c r="K86" t="s">
        <v>358</v>
      </c>
    </row>
    <row r="87" spans="1:11" x14ac:dyDescent="0.3">
      <c r="A87" t="s">
        <v>102</v>
      </c>
      <c r="B87" t="s">
        <v>342</v>
      </c>
      <c r="C87">
        <v>185</v>
      </c>
      <c r="D87">
        <v>382</v>
      </c>
      <c r="E87">
        <v>197</v>
      </c>
      <c r="F87">
        <v>0.52</v>
      </c>
      <c r="G87" t="s">
        <v>350</v>
      </c>
      <c r="H87">
        <v>9</v>
      </c>
      <c r="I87" t="s">
        <v>88</v>
      </c>
      <c r="J87">
        <v>4.3</v>
      </c>
      <c r="K87" t="s">
        <v>358</v>
      </c>
    </row>
    <row r="88" spans="1:11" x14ac:dyDescent="0.3">
      <c r="A88" t="s">
        <v>108</v>
      </c>
      <c r="B88" t="s">
        <v>340</v>
      </c>
      <c r="C88">
        <v>1820</v>
      </c>
      <c r="D88">
        <v>3490</v>
      </c>
      <c r="E88">
        <v>1670</v>
      </c>
      <c r="F88">
        <v>0.48</v>
      </c>
      <c r="G88" t="s">
        <v>350</v>
      </c>
      <c r="H88">
        <v>9</v>
      </c>
      <c r="I88" t="s">
        <v>88</v>
      </c>
      <c r="J88">
        <v>4.3</v>
      </c>
      <c r="K88" t="s">
        <v>358</v>
      </c>
    </row>
    <row r="89" spans="1:11" x14ac:dyDescent="0.3">
      <c r="A89" t="s">
        <v>122</v>
      </c>
      <c r="B89" t="s">
        <v>348</v>
      </c>
      <c r="C89">
        <v>389</v>
      </c>
      <c r="D89">
        <v>656</v>
      </c>
      <c r="E89">
        <v>267</v>
      </c>
      <c r="F89">
        <v>0.41</v>
      </c>
      <c r="G89" t="s">
        <v>350</v>
      </c>
      <c r="H89">
        <v>36</v>
      </c>
      <c r="I89" t="s">
        <v>88</v>
      </c>
      <c r="J89">
        <v>4.3</v>
      </c>
      <c r="K89" t="s">
        <v>358</v>
      </c>
    </row>
    <row r="90" spans="1:11" x14ac:dyDescent="0.3">
      <c r="A90" t="s">
        <v>81</v>
      </c>
      <c r="B90" t="s">
        <v>342</v>
      </c>
      <c r="C90">
        <v>1650</v>
      </c>
      <c r="D90">
        <v>2150</v>
      </c>
      <c r="E90">
        <v>500</v>
      </c>
      <c r="F90">
        <v>0.23</v>
      </c>
      <c r="G90" t="s">
        <v>349</v>
      </c>
      <c r="H90">
        <v>14</v>
      </c>
      <c r="I90" t="s">
        <v>84</v>
      </c>
      <c r="J90">
        <v>4.4000000000000004</v>
      </c>
      <c r="K90" t="s">
        <v>358</v>
      </c>
    </row>
    <row r="91" spans="1:11" x14ac:dyDescent="0.3">
      <c r="A91" t="s">
        <v>6</v>
      </c>
      <c r="B91" t="s">
        <v>343</v>
      </c>
      <c r="C91">
        <v>950</v>
      </c>
      <c r="D91">
        <v>1525</v>
      </c>
      <c r="E91">
        <v>575</v>
      </c>
      <c r="F91">
        <v>0.38</v>
      </c>
      <c r="G91" t="s">
        <v>349</v>
      </c>
      <c r="H91">
        <v>2</v>
      </c>
      <c r="I91" t="s">
        <v>9</v>
      </c>
      <c r="J91">
        <v>4.5</v>
      </c>
      <c r="K91" t="s">
        <v>357</v>
      </c>
    </row>
    <row r="92" spans="1:11" x14ac:dyDescent="0.3">
      <c r="A92" t="s">
        <v>50</v>
      </c>
      <c r="B92" t="s">
        <v>342</v>
      </c>
      <c r="C92">
        <v>501</v>
      </c>
      <c r="D92">
        <v>860</v>
      </c>
      <c r="E92">
        <v>359</v>
      </c>
      <c r="F92">
        <v>0.42</v>
      </c>
      <c r="G92" t="s">
        <v>350</v>
      </c>
      <c r="H92">
        <v>6</v>
      </c>
      <c r="I92" t="s">
        <v>9</v>
      </c>
      <c r="J92">
        <v>4.5</v>
      </c>
      <c r="K92" t="s">
        <v>357</v>
      </c>
    </row>
    <row r="93" spans="1:11" x14ac:dyDescent="0.3">
      <c r="A93" t="s">
        <v>114</v>
      </c>
      <c r="B93" t="s">
        <v>341</v>
      </c>
      <c r="C93">
        <v>1980</v>
      </c>
      <c r="D93">
        <v>2699</v>
      </c>
      <c r="E93">
        <v>719</v>
      </c>
      <c r="F93">
        <v>0.27</v>
      </c>
      <c r="G93" t="s">
        <v>349</v>
      </c>
      <c r="H93">
        <v>32</v>
      </c>
      <c r="I93" t="s">
        <v>9</v>
      </c>
      <c r="J93">
        <v>4.5</v>
      </c>
      <c r="K93" t="s">
        <v>357</v>
      </c>
    </row>
    <row r="94" spans="1:11" x14ac:dyDescent="0.3">
      <c r="A94" t="s">
        <v>125</v>
      </c>
      <c r="B94" t="s">
        <v>342</v>
      </c>
      <c r="C94" t="s">
        <v>327</v>
      </c>
      <c r="D94" t="s">
        <v>329</v>
      </c>
      <c r="E94" t="e">
        <v>#VALUE!</v>
      </c>
      <c r="F94">
        <v>0.38</v>
      </c>
      <c r="G94" t="s">
        <v>349</v>
      </c>
      <c r="H94">
        <v>2</v>
      </c>
      <c r="I94" t="s">
        <v>9</v>
      </c>
      <c r="J94">
        <v>4.5</v>
      </c>
      <c r="K94" t="s">
        <v>357</v>
      </c>
    </row>
    <row r="95" spans="1:11" x14ac:dyDescent="0.3">
      <c r="A95" t="s">
        <v>14</v>
      </c>
      <c r="B95" t="s">
        <v>340</v>
      </c>
      <c r="C95">
        <v>2199</v>
      </c>
      <c r="D95">
        <v>2923</v>
      </c>
      <c r="E95">
        <v>724</v>
      </c>
      <c r="F95">
        <v>0.25</v>
      </c>
      <c r="G95" t="s">
        <v>349</v>
      </c>
      <c r="H95">
        <v>24</v>
      </c>
      <c r="I95" t="s">
        <v>17</v>
      </c>
      <c r="J95">
        <v>4.5999999999999996</v>
      </c>
      <c r="K95" t="s">
        <v>357</v>
      </c>
    </row>
    <row r="96" spans="1:11" x14ac:dyDescent="0.3">
      <c r="A96" t="s">
        <v>30</v>
      </c>
      <c r="B96" t="s">
        <v>343</v>
      </c>
      <c r="C96">
        <v>2319</v>
      </c>
      <c r="D96">
        <v>3032</v>
      </c>
      <c r="E96">
        <v>713</v>
      </c>
      <c r="F96">
        <v>0.24</v>
      </c>
      <c r="G96" t="s">
        <v>349</v>
      </c>
      <c r="H96">
        <v>55</v>
      </c>
      <c r="I96" t="s">
        <v>17</v>
      </c>
      <c r="J96">
        <v>4.5999999999999996</v>
      </c>
      <c r="K96" t="s">
        <v>357</v>
      </c>
    </row>
    <row r="97" spans="1:11" x14ac:dyDescent="0.3">
      <c r="A97" t="s">
        <v>66</v>
      </c>
      <c r="B97" t="s">
        <v>342</v>
      </c>
      <c r="C97">
        <v>2999</v>
      </c>
      <c r="D97">
        <v>3699</v>
      </c>
      <c r="E97">
        <v>700</v>
      </c>
      <c r="F97">
        <v>0.19</v>
      </c>
      <c r="G97" t="s">
        <v>351</v>
      </c>
      <c r="H97">
        <v>5</v>
      </c>
      <c r="I97" t="s">
        <v>17</v>
      </c>
      <c r="J97">
        <v>4.5999999999999996</v>
      </c>
      <c r="K97" t="s">
        <v>357</v>
      </c>
    </row>
    <row r="98" spans="1:11" x14ac:dyDescent="0.3">
      <c r="A98" t="s">
        <v>68</v>
      </c>
      <c r="B98" t="s">
        <v>341</v>
      </c>
      <c r="C98">
        <v>998</v>
      </c>
      <c r="D98">
        <v>1966</v>
      </c>
      <c r="E98">
        <v>968</v>
      </c>
      <c r="F98">
        <v>0.49</v>
      </c>
      <c r="G98" t="s">
        <v>350</v>
      </c>
      <c r="H98">
        <v>44</v>
      </c>
      <c r="I98" t="s">
        <v>17</v>
      </c>
      <c r="J98">
        <v>4.5999999999999996</v>
      </c>
      <c r="K98" t="s">
        <v>357</v>
      </c>
    </row>
    <row r="99" spans="1:11" x14ac:dyDescent="0.3">
      <c r="A99" t="s">
        <v>89</v>
      </c>
      <c r="B99" t="s">
        <v>343</v>
      </c>
      <c r="C99">
        <v>420</v>
      </c>
      <c r="D99">
        <v>647</v>
      </c>
      <c r="E99">
        <v>227</v>
      </c>
      <c r="F99">
        <v>0.35</v>
      </c>
      <c r="G99" t="s">
        <v>349</v>
      </c>
      <c r="H99">
        <v>49</v>
      </c>
      <c r="I99" t="s">
        <v>17</v>
      </c>
      <c r="J99">
        <v>4.5999999999999996</v>
      </c>
      <c r="K99" t="s">
        <v>357</v>
      </c>
    </row>
    <row r="100" spans="1:11" x14ac:dyDescent="0.3">
      <c r="A100" t="s">
        <v>18</v>
      </c>
      <c r="B100" t="s">
        <v>343</v>
      </c>
      <c r="C100">
        <v>1580</v>
      </c>
      <c r="D100">
        <v>2499</v>
      </c>
      <c r="E100">
        <v>919</v>
      </c>
      <c r="F100">
        <v>0.37</v>
      </c>
      <c r="G100" t="s">
        <v>349</v>
      </c>
      <c r="H100">
        <v>7</v>
      </c>
      <c r="I100" t="s">
        <v>21</v>
      </c>
      <c r="J100">
        <v>4.7</v>
      </c>
      <c r="K100" t="s">
        <v>357</v>
      </c>
    </row>
    <row r="101" spans="1:11" x14ac:dyDescent="0.3">
      <c r="A101" t="s">
        <v>44</v>
      </c>
      <c r="B101" t="s">
        <v>341</v>
      </c>
      <c r="C101">
        <v>990</v>
      </c>
      <c r="D101">
        <v>1500</v>
      </c>
      <c r="E101">
        <v>510</v>
      </c>
      <c r="F101">
        <v>0.34</v>
      </c>
      <c r="G101" t="s">
        <v>349</v>
      </c>
      <c r="H101">
        <v>39</v>
      </c>
      <c r="I101" t="s">
        <v>21</v>
      </c>
      <c r="J101">
        <v>4.7</v>
      </c>
      <c r="K101" t="s">
        <v>357</v>
      </c>
    </row>
    <row r="102" spans="1:11" x14ac:dyDescent="0.3">
      <c r="A102" t="s">
        <v>105</v>
      </c>
      <c r="B102" t="s">
        <v>342</v>
      </c>
      <c r="C102">
        <v>980</v>
      </c>
      <c r="D102">
        <v>1490</v>
      </c>
      <c r="E102">
        <v>510</v>
      </c>
      <c r="F102">
        <v>0.34</v>
      </c>
      <c r="G102" t="s">
        <v>349</v>
      </c>
      <c r="H102">
        <v>12</v>
      </c>
      <c r="I102" t="s">
        <v>21</v>
      </c>
      <c r="J102">
        <v>4.7</v>
      </c>
      <c r="K102" t="s">
        <v>357</v>
      </c>
    </row>
    <row r="103" spans="1:11" x14ac:dyDescent="0.3">
      <c r="A103" t="s">
        <v>111</v>
      </c>
      <c r="B103" t="s">
        <v>341</v>
      </c>
      <c r="C103">
        <v>1940</v>
      </c>
      <c r="D103">
        <v>2650</v>
      </c>
      <c r="E103">
        <v>710</v>
      </c>
      <c r="F103">
        <v>0.27</v>
      </c>
      <c r="G103" t="s">
        <v>349</v>
      </c>
      <c r="H103">
        <v>20</v>
      </c>
      <c r="I103" t="s">
        <v>21</v>
      </c>
      <c r="J103">
        <v>4.7</v>
      </c>
      <c r="K103" t="s">
        <v>357</v>
      </c>
    </row>
    <row r="104" spans="1:11" x14ac:dyDescent="0.3">
      <c r="A104" t="s">
        <v>22</v>
      </c>
      <c r="B104" t="s">
        <v>340</v>
      </c>
      <c r="C104">
        <v>1740</v>
      </c>
      <c r="D104">
        <v>2356</v>
      </c>
      <c r="E104">
        <v>616</v>
      </c>
      <c r="F104">
        <v>0.26</v>
      </c>
      <c r="G104" t="s">
        <v>349</v>
      </c>
      <c r="H104">
        <v>5</v>
      </c>
      <c r="I104" t="s">
        <v>25</v>
      </c>
      <c r="J104">
        <v>4.8</v>
      </c>
      <c r="K104" t="s">
        <v>357</v>
      </c>
    </row>
    <row r="105" spans="1:11" x14ac:dyDescent="0.3">
      <c r="A105" t="s">
        <v>35</v>
      </c>
      <c r="B105" t="s">
        <v>342</v>
      </c>
      <c r="C105">
        <v>1274</v>
      </c>
      <c r="D105">
        <v>2800</v>
      </c>
      <c r="E105">
        <v>1526</v>
      </c>
      <c r="F105">
        <v>0.55000000000000004</v>
      </c>
      <c r="G105" t="s">
        <v>350</v>
      </c>
      <c r="H105">
        <v>5</v>
      </c>
      <c r="I105" t="s">
        <v>25</v>
      </c>
      <c r="J105">
        <v>4.8</v>
      </c>
      <c r="K105" t="s">
        <v>357</v>
      </c>
    </row>
    <row r="106" spans="1:11" x14ac:dyDescent="0.3">
      <c r="A106" t="s">
        <v>47</v>
      </c>
      <c r="B106" t="s">
        <v>341</v>
      </c>
      <c r="C106">
        <v>552</v>
      </c>
      <c r="D106">
        <v>1035</v>
      </c>
      <c r="E106">
        <v>483</v>
      </c>
      <c r="F106">
        <v>0.47</v>
      </c>
      <c r="G106" t="s">
        <v>350</v>
      </c>
      <c r="H106">
        <v>12</v>
      </c>
      <c r="I106" t="s">
        <v>25</v>
      </c>
      <c r="J106">
        <v>4.8</v>
      </c>
      <c r="K106" t="s">
        <v>357</v>
      </c>
    </row>
    <row r="107" spans="1:11" x14ac:dyDescent="0.3">
      <c r="A107" t="s">
        <v>56</v>
      </c>
      <c r="B107" t="s">
        <v>342</v>
      </c>
      <c r="C107">
        <v>332</v>
      </c>
      <c r="D107">
        <v>684</v>
      </c>
      <c r="E107">
        <v>352</v>
      </c>
      <c r="F107">
        <v>0.51</v>
      </c>
      <c r="G107" t="s">
        <v>350</v>
      </c>
      <c r="H107">
        <v>2</v>
      </c>
      <c r="I107" t="s">
        <v>59</v>
      </c>
      <c r="J107">
        <v>5</v>
      </c>
      <c r="K107" t="s">
        <v>357</v>
      </c>
    </row>
    <row r="108" spans="1:11" x14ac:dyDescent="0.3">
      <c r="A108" t="s">
        <v>60</v>
      </c>
      <c r="B108" t="s">
        <v>342</v>
      </c>
      <c r="C108">
        <v>195</v>
      </c>
      <c r="D108">
        <v>360</v>
      </c>
      <c r="E108">
        <v>165</v>
      </c>
      <c r="F108">
        <v>0.46</v>
      </c>
      <c r="G108" t="s">
        <v>350</v>
      </c>
      <c r="H108">
        <v>2</v>
      </c>
      <c r="I108" t="s">
        <v>59</v>
      </c>
      <c r="J108">
        <v>5</v>
      </c>
      <c r="K108" t="s">
        <v>357</v>
      </c>
    </row>
    <row r="109" spans="1:11" x14ac:dyDescent="0.3">
      <c r="A109" t="s">
        <v>63</v>
      </c>
      <c r="B109" t="s">
        <v>342</v>
      </c>
      <c r="C109">
        <v>2025</v>
      </c>
      <c r="D109">
        <v>3971</v>
      </c>
      <c r="E109">
        <v>1946</v>
      </c>
      <c r="F109">
        <v>0.49</v>
      </c>
      <c r="G109" t="s">
        <v>350</v>
      </c>
      <c r="H109">
        <v>3</v>
      </c>
      <c r="I109" t="s">
        <v>59</v>
      </c>
      <c r="J109">
        <v>5</v>
      </c>
      <c r="K109" t="s">
        <v>357</v>
      </c>
    </row>
    <row r="110" spans="1:11" x14ac:dyDescent="0.3">
      <c r="A110" t="s">
        <v>117</v>
      </c>
      <c r="B110" t="s">
        <v>348</v>
      </c>
      <c r="C110">
        <v>1620</v>
      </c>
      <c r="D110">
        <v>2690</v>
      </c>
      <c r="E110">
        <v>1070</v>
      </c>
      <c r="F110">
        <v>0.4</v>
      </c>
      <c r="G110" t="s">
        <v>349</v>
      </c>
      <c r="H110">
        <v>1</v>
      </c>
      <c r="I110" t="s">
        <v>59</v>
      </c>
      <c r="J110">
        <v>5</v>
      </c>
      <c r="K110" t="s">
        <v>357</v>
      </c>
    </row>
    <row r="111" spans="1:11" x14ac:dyDescent="0.3">
      <c r="A111" t="s">
        <v>120</v>
      </c>
      <c r="B111" t="s">
        <v>342</v>
      </c>
      <c r="C111">
        <v>171</v>
      </c>
      <c r="D111">
        <v>360</v>
      </c>
      <c r="E111">
        <v>189</v>
      </c>
      <c r="F111">
        <v>0.53</v>
      </c>
      <c r="G111" t="s">
        <v>350</v>
      </c>
      <c r="H111">
        <v>2</v>
      </c>
      <c r="I111" t="s">
        <v>59</v>
      </c>
      <c r="J111">
        <v>5</v>
      </c>
      <c r="K111" t="s">
        <v>357</v>
      </c>
    </row>
    <row r="112" spans="1:11" x14ac:dyDescent="0.3">
      <c r="A112" t="s">
        <v>245</v>
      </c>
      <c r="B112" t="s">
        <v>342</v>
      </c>
      <c r="C112">
        <v>979</v>
      </c>
      <c r="D112">
        <v>1920</v>
      </c>
      <c r="E112">
        <v>941</v>
      </c>
      <c r="F112">
        <v>0.49</v>
      </c>
      <c r="G112" t="s">
        <v>350</v>
      </c>
      <c r="H112">
        <v>1</v>
      </c>
      <c r="I112" t="s">
        <v>59</v>
      </c>
      <c r="J112">
        <v>5</v>
      </c>
      <c r="K112" t="s">
        <v>357</v>
      </c>
    </row>
    <row r="113" spans="1:11" x14ac:dyDescent="0.3">
      <c r="A113" t="s">
        <v>295</v>
      </c>
      <c r="B113" t="s">
        <v>342</v>
      </c>
      <c r="C113">
        <v>3640</v>
      </c>
      <c r="D113">
        <v>4588</v>
      </c>
      <c r="E113">
        <v>948</v>
      </c>
      <c r="F113">
        <v>0.21</v>
      </c>
      <c r="G113" t="s">
        <v>349</v>
      </c>
      <c r="H113">
        <v>1</v>
      </c>
      <c r="I113" t="s">
        <v>59</v>
      </c>
      <c r="J113">
        <v>5</v>
      </c>
      <c r="K113" t="s">
        <v>357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2DE0C-D7C7-4F9F-A542-7C23F725B79F}">
  <dimension ref="A1:K6"/>
  <sheetViews>
    <sheetView tabSelected="1" workbookViewId="0">
      <selection activeCell="A19" sqref="A19"/>
    </sheetView>
  </sheetViews>
  <sheetFormatPr defaultRowHeight="14.4" x14ac:dyDescent="0.3"/>
  <cols>
    <col min="1" max="1" width="63.77734375" bestFit="1" customWidth="1"/>
    <col min="2" max="2" width="15" bestFit="1" customWidth="1"/>
    <col min="3" max="3" width="15.6640625" bestFit="1" customWidth="1"/>
    <col min="4" max="4" width="12.109375" bestFit="1" customWidth="1"/>
    <col min="5" max="5" width="23.77734375" bestFit="1" customWidth="1"/>
    <col min="6" max="6" width="10.6640625" bestFit="1" customWidth="1"/>
    <col min="7" max="7" width="15.77734375" bestFit="1" customWidth="1"/>
    <col min="8" max="8" width="6.88671875" bestFit="1" customWidth="1"/>
    <col min="10" max="10" width="6.88671875" bestFit="1" customWidth="1"/>
    <col min="11" max="11" width="14.5546875" bestFit="1" customWidth="1"/>
  </cols>
  <sheetData>
    <row r="1" spans="1:11" x14ac:dyDescent="0.3">
      <c r="A1" t="s">
        <v>323</v>
      </c>
      <c r="B1" t="s">
        <v>347</v>
      </c>
      <c r="C1" t="s">
        <v>330</v>
      </c>
      <c r="D1" t="s">
        <v>331</v>
      </c>
      <c r="E1" t="s">
        <v>332</v>
      </c>
      <c r="F1" t="s">
        <v>324</v>
      </c>
      <c r="G1" t="s">
        <v>334</v>
      </c>
      <c r="H1" t="s">
        <v>4</v>
      </c>
      <c r="I1" t="s">
        <v>5</v>
      </c>
      <c r="J1" t="s">
        <v>326</v>
      </c>
      <c r="K1" t="s">
        <v>333</v>
      </c>
    </row>
    <row r="2" spans="1:11" x14ac:dyDescent="0.3">
      <c r="A2" t="s">
        <v>56</v>
      </c>
      <c r="B2" t="s">
        <v>342</v>
      </c>
      <c r="C2">
        <v>332</v>
      </c>
      <c r="D2">
        <v>684</v>
      </c>
      <c r="E2">
        <v>352</v>
      </c>
      <c r="F2">
        <v>0.51</v>
      </c>
      <c r="G2" t="s">
        <v>350</v>
      </c>
      <c r="H2">
        <v>2</v>
      </c>
      <c r="I2" t="s">
        <v>59</v>
      </c>
      <c r="J2">
        <v>5</v>
      </c>
      <c r="K2" t="s">
        <v>357</v>
      </c>
    </row>
    <row r="3" spans="1:11" x14ac:dyDescent="0.3">
      <c r="A3" t="s">
        <v>60</v>
      </c>
      <c r="B3" t="s">
        <v>342</v>
      </c>
      <c r="C3">
        <v>195</v>
      </c>
      <c r="D3">
        <v>360</v>
      </c>
      <c r="E3">
        <v>165</v>
      </c>
      <c r="F3">
        <v>0.46</v>
      </c>
      <c r="G3" t="s">
        <v>350</v>
      </c>
      <c r="H3">
        <v>2</v>
      </c>
      <c r="I3" t="s">
        <v>59</v>
      </c>
      <c r="J3">
        <v>5</v>
      </c>
      <c r="K3" t="s">
        <v>357</v>
      </c>
    </row>
    <row r="4" spans="1:11" x14ac:dyDescent="0.3">
      <c r="A4" t="s">
        <v>63</v>
      </c>
      <c r="B4" t="s">
        <v>342</v>
      </c>
      <c r="C4">
        <v>2025</v>
      </c>
      <c r="D4">
        <v>3971</v>
      </c>
      <c r="E4">
        <v>1946</v>
      </c>
      <c r="F4">
        <v>0.49</v>
      </c>
      <c r="G4" t="s">
        <v>350</v>
      </c>
      <c r="H4">
        <v>3</v>
      </c>
      <c r="I4" t="s">
        <v>59</v>
      </c>
      <c r="J4">
        <v>5</v>
      </c>
      <c r="K4" t="s">
        <v>357</v>
      </c>
    </row>
    <row r="5" spans="1:11" x14ac:dyDescent="0.3">
      <c r="A5" t="s">
        <v>117</v>
      </c>
      <c r="B5" t="s">
        <v>348</v>
      </c>
      <c r="C5">
        <v>1620</v>
      </c>
      <c r="D5">
        <v>2690</v>
      </c>
      <c r="E5">
        <v>1070</v>
      </c>
      <c r="F5">
        <v>0.4</v>
      </c>
      <c r="G5" t="s">
        <v>349</v>
      </c>
      <c r="H5">
        <v>1</v>
      </c>
      <c r="I5" t="s">
        <v>59</v>
      </c>
      <c r="J5">
        <v>5</v>
      </c>
      <c r="K5" t="s">
        <v>357</v>
      </c>
    </row>
    <row r="6" spans="1:11" x14ac:dyDescent="0.3">
      <c r="A6" t="s">
        <v>120</v>
      </c>
      <c r="B6" t="s">
        <v>342</v>
      </c>
      <c r="C6">
        <v>171</v>
      </c>
      <c r="D6">
        <v>360</v>
      </c>
      <c r="E6">
        <v>189</v>
      </c>
      <c r="F6">
        <v>0.53</v>
      </c>
      <c r="G6" t="s">
        <v>350</v>
      </c>
      <c r="H6">
        <v>2</v>
      </c>
      <c r="I6" t="s">
        <v>59</v>
      </c>
      <c r="J6">
        <v>5</v>
      </c>
      <c r="K6" t="s">
        <v>357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1BB2B-CD58-4953-AB22-7CD1AA27AC0B}">
  <dimension ref="A1:K6"/>
  <sheetViews>
    <sheetView workbookViewId="0">
      <selection activeCell="E15" sqref="D15:E16"/>
    </sheetView>
  </sheetViews>
  <sheetFormatPr defaultRowHeight="14.4" x14ac:dyDescent="0.3"/>
  <cols>
    <col min="1" max="1" width="60" bestFit="1" customWidth="1"/>
    <col min="2" max="2" width="15" bestFit="1" customWidth="1"/>
    <col min="3" max="3" width="15.6640625" bestFit="1" customWidth="1"/>
    <col min="4" max="4" width="12.109375" bestFit="1" customWidth="1"/>
    <col min="5" max="5" width="23.77734375" bestFit="1" customWidth="1"/>
    <col min="6" max="6" width="10.6640625" bestFit="1" customWidth="1"/>
    <col min="7" max="7" width="15.77734375" bestFit="1" customWidth="1"/>
    <col min="8" max="8" width="6.88671875" bestFit="1" customWidth="1"/>
    <col min="10" max="10" width="6.88671875" bestFit="1" customWidth="1"/>
    <col min="11" max="11" width="14.5546875" bestFit="1" customWidth="1"/>
  </cols>
  <sheetData>
    <row r="1" spans="1:11" x14ac:dyDescent="0.3">
      <c r="A1" t="s">
        <v>323</v>
      </c>
      <c r="B1" t="s">
        <v>347</v>
      </c>
      <c r="C1" t="s">
        <v>330</v>
      </c>
      <c r="D1" t="s">
        <v>331</v>
      </c>
      <c r="E1" t="s">
        <v>332</v>
      </c>
      <c r="F1" t="s">
        <v>324</v>
      </c>
      <c r="G1" t="s">
        <v>334</v>
      </c>
      <c r="H1" t="s">
        <v>4</v>
      </c>
      <c r="I1" t="s">
        <v>5</v>
      </c>
      <c r="J1" t="s">
        <v>326</v>
      </c>
      <c r="K1" t="s">
        <v>333</v>
      </c>
    </row>
    <row r="2" spans="1:11" x14ac:dyDescent="0.3">
      <c r="A2" t="s">
        <v>75</v>
      </c>
      <c r="B2" t="s">
        <v>341</v>
      </c>
      <c r="C2">
        <v>1860</v>
      </c>
      <c r="D2">
        <v>3220</v>
      </c>
      <c r="E2">
        <v>1360</v>
      </c>
      <c r="F2">
        <v>0.42</v>
      </c>
      <c r="G2" t="s">
        <v>350</v>
      </c>
      <c r="H2">
        <v>0</v>
      </c>
      <c r="I2" t="s">
        <v>325</v>
      </c>
      <c r="J2">
        <v>0</v>
      </c>
      <c r="K2" t="s">
        <v>359</v>
      </c>
    </row>
    <row r="3" spans="1:11" x14ac:dyDescent="0.3">
      <c r="A3" t="s">
        <v>328</v>
      </c>
      <c r="B3" t="s">
        <v>348</v>
      </c>
      <c r="C3">
        <v>2200</v>
      </c>
      <c r="D3">
        <v>4080</v>
      </c>
      <c r="E3">
        <v>1880</v>
      </c>
      <c r="F3">
        <v>0.46</v>
      </c>
      <c r="G3" t="s">
        <v>350</v>
      </c>
      <c r="H3">
        <v>0</v>
      </c>
      <c r="I3" t="s">
        <v>325</v>
      </c>
      <c r="J3">
        <v>0</v>
      </c>
      <c r="K3" t="s">
        <v>359</v>
      </c>
    </row>
    <row r="4" spans="1:11" x14ac:dyDescent="0.3">
      <c r="A4" t="s">
        <v>128</v>
      </c>
      <c r="B4" t="s">
        <v>342</v>
      </c>
      <c r="C4">
        <v>2750</v>
      </c>
      <c r="D4">
        <v>4471</v>
      </c>
      <c r="E4">
        <v>1721</v>
      </c>
      <c r="F4">
        <v>0.38</v>
      </c>
      <c r="G4" t="s">
        <v>349</v>
      </c>
      <c r="H4">
        <v>0</v>
      </c>
      <c r="I4" t="s">
        <v>325</v>
      </c>
      <c r="J4">
        <v>0</v>
      </c>
      <c r="K4" t="s">
        <v>359</v>
      </c>
    </row>
    <row r="5" spans="1:11" x14ac:dyDescent="0.3">
      <c r="A5" t="s">
        <v>131</v>
      </c>
      <c r="B5" t="s">
        <v>342</v>
      </c>
      <c r="C5">
        <v>475</v>
      </c>
      <c r="D5">
        <v>931</v>
      </c>
      <c r="E5">
        <v>456</v>
      </c>
      <c r="F5">
        <v>0.49</v>
      </c>
      <c r="G5" t="s">
        <v>350</v>
      </c>
      <c r="H5">
        <v>0</v>
      </c>
      <c r="I5" t="s">
        <v>325</v>
      </c>
      <c r="J5">
        <v>0</v>
      </c>
      <c r="K5" t="s">
        <v>359</v>
      </c>
    </row>
    <row r="6" spans="1:11" x14ac:dyDescent="0.3">
      <c r="A6" t="s">
        <v>134</v>
      </c>
      <c r="B6" t="s">
        <v>342</v>
      </c>
      <c r="C6">
        <v>238</v>
      </c>
      <c r="D6">
        <v>476</v>
      </c>
      <c r="E6">
        <v>238</v>
      </c>
      <c r="F6">
        <v>0.5</v>
      </c>
      <c r="G6" t="s">
        <v>350</v>
      </c>
      <c r="H6">
        <v>0</v>
      </c>
      <c r="I6" t="s">
        <v>325</v>
      </c>
      <c r="J6">
        <v>0</v>
      </c>
      <c r="K6" t="s">
        <v>359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7A08F-E699-4123-A100-85FC554E5466}">
  <dimension ref="A1:L113"/>
  <sheetViews>
    <sheetView workbookViewId="0">
      <selection activeCell="O3" sqref="O3"/>
    </sheetView>
  </sheetViews>
  <sheetFormatPr defaultRowHeight="14.4" x14ac:dyDescent="0.3"/>
  <sheetData>
    <row r="1" spans="1:2" x14ac:dyDescent="0.3">
      <c r="A1" t="s">
        <v>326</v>
      </c>
      <c r="B1" t="s">
        <v>4</v>
      </c>
    </row>
    <row r="2" spans="1:2" x14ac:dyDescent="0.3">
      <c r="A2">
        <v>4.5</v>
      </c>
      <c r="B2">
        <v>2</v>
      </c>
    </row>
    <row r="3" spans="1:2" x14ac:dyDescent="0.3">
      <c r="A3">
        <v>4.0999999999999996</v>
      </c>
      <c r="B3">
        <v>14</v>
      </c>
    </row>
    <row r="4" spans="1:2" x14ac:dyDescent="0.3">
      <c r="A4">
        <v>4.5999999999999996</v>
      </c>
      <c r="B4">
        <v>24</v>
      </c>
    </row>
    <row r="5" spans="1:2" x14ac:dyDescent="0.3">
      <c r="A5">
        <v>4.7</v>
      </c>
      <c r="B5">
        <v>7</v>
      </c>
    </row>
    <row r="6" spans="1:2" x14ac:dyDescent="0.3">
      <c r="A6">
        <v>4.8</v>
      </c>
      <c r="B6">
        <v>5</v>
      </c>
    </row>
    <row r="7" spans="1:2" x14ac:dyDescent="0.3">
      <c r="A7">
        <v>4</v>
      </c>
      <c r="B7">
        <v>15</v>
      </c>
    </row>
    <row r="8" spans="1:2" x14ac:dyDescent="0.3">
      <c r="A8">
        <v>4.5999999999999996</v>
      </c>
      <c r="B8">
        <v>55</v>
      </c>
    </row>
    <row r="9" spans="1:2" x14ac:dyDescent="0.3">
      <c r="A9">
        <v>4</v>
      </c>
      <c r="B9">
        <v>2</v>
      </c>
    </row>
    <row r="10" spans="1:2" x14ac:dyDescent="0.3">
      <c r="A10">
        <v>4.8</v>
      </c>
      <c r="B10">
        <v>5</v>
      </c>
    </row>
    <row r="11" spans="1:2" x14ac:dyDescent="0.3">
      <c r="A11">
        <v>3.8</v>
      </c>
      <c r="B11">
        <v>5</v>
      </c>
    </row>
    <row r="12" spans="1:2" x14ac:dyDescent="0.3">
      <c r="A12">
        <v>4.0999999999999996</v>
      </c>
      <c r="B12">
        <v>12</v>
      </c>
    </row>
    <row r="13" spans="1:2" x14ac:dyDescent="0.3">
      <c r="A13">
        <v>4.7</v>
      </c>
      <c r="B13">
        <v>39</v>
      </c>
    </row>
    <row r="14" spans="1:2" x14ac:dyDescent="0.3">
      <c r="A14">
        <v>4.8</v>
      </c>
      <c r="B14">
        <v>12</v>
      </c>
    </row>
    <row r="15" spans="1:2" x14ac:dyDescent="0.3">
      <c r="A15">
        <v>4.5</v>
      </c>
      <c r="B15">
        <v>6</v>
      </c>
    </row>
    <row r="16" spans="1:2" x14ac:dyDescent="0.3">
      <c r="A16">
        <v>4.2</v>
      </c>
      <c r="B16">
        <v>9</v>
      </c>
    </row>
    <row r="17" spans="1:12" x14ac:dyDescent="0.3">
      <c r="A17">
        <v>5</v>
      </c>
      <c r="B17">
        <v>2</v>
      </c>
    </row>
    <row r="18" spans="1:12" x14ac:dyDescent="0.3">
      <c r="A18">
        <v>5</v>
      </c>
      <c r="B18">
        <v>2</v>
      </c>
    </row>
    <row r="19" spans="1:12" x14ac:dyDescent="0.3">
      <c r="A19">
        <v>5</v>
      </c>
      <c r="B19">
        <v>3</v>
      </c>
    </row>
    <row r="20" spans="1:12" x14ac:dyDescent="0.3">
      <c r="A20">
        <v>4.5999999999999996</v>
      </c>
      <c r="B20">
        <v>5</v>
      </c>
    </row>
    <row r="21" spans="1:12" x14ac:dyDescent="0.3">
      <c r="A21">
        <v>4.5999999999999996</v>
      </c>
      <c r="B21">
        <v>44</v>
      </c>
    </row>
    <row r="22" spans="1:12" x14ac:dyDescent="0.3">
      <c r="A22">
        <v>3.3</v>
      </c>
      <c r="B22">
        <v>13</v>
      </c>
    </row>
    <row r="23" spans="1:12" x14ac:dyDescent="0.3">
      <c r="A23">
        <v>0</v>
      </c>
      <c r="B23">
        <v>0</v>
      </c>
      <c r="L23">
        <f>CORREL(A2:A113,B2:B113)</f>
        <v>0.51530574490711656</v>
      </c>
    </row>
    <row r="24" spans="1:12" x14ac:dyDescent="0.3">
      <c r="A24">
        <v>4</v>
      </c>
      <c r="B24">
        <v>6</v>
      </c>
    </row>
    <row r="25" spans="1:12" x14ac:dyDescent="0.3">
      <c r="A25">
        <v>4.4000000000000004</v>
      </c>
      <c r="B25">
        <v>14</v>
      </c>
      <c r="J25" t="s">
        <v>356</v>
      </c>
    </row>
    <row r="26" spans="1:12" x14ac:dyDescent="0.3">
      <c r="A26">
        <v>4.3</v>
      </c>
      <c r="B26">
        <v>7</v>
      </c>
    </row>
    <row r="27" spans="1:12" x14ac:dyDescent="0.3">
      <c r="A27">
        <v>4.5999999999999996</v>
      </c>
      <c r="B27">
        <v>49</v>
      </c>
    </row>
    <row r="28" spans="1:12" x14ac:dyDescent="0.3">
      <c r="A28">
        <v>3.8</v>
      </c>
      <c r="B28">
        <v>12</v>
      </c>
    </row>
    <row r="29" spans="1:12" x14ac:dyDescent="0.3">
      <c r="A29">
        <v>3.8</v>
      </c>
      <c r="B29">
        <v>13</v>
      </c>
    </row>
    <row r="30" spans="1:12" x14ac:dyDescent="0.3">
      <c r="A30">
        <v>4.0999999999999996</v>
      </c>
      <c r="B30">
        <v>20</v>
      </c>
    </row>
    <row r="31" spans="1:12" x14ac:dyDescent="0.3">
      <c r="A31">
        <v>0</v>
      </c>
      <c r="B31">
        <v>0</v>
      </c>
    </row>
    <row r="32" spans="1:12" x14ac:dyDescent="0.3">
      <c r="A32">
        <v>4.3</v>
      </c>
      <c r="B32">
        <v>9</v>
      </c>
    </row>
    <row r="33" spans="1:2" x14ac:dyDescent="0.3">
      <c r="A33">
        <v>4.7</v>
      </c>
      <c r="B33">
        <v>12</v>
      </c>
    </row>
    <row r="34" spans="1:2" x14ac:dyDescent="0.3">
      <c r="A34">
        <v>4.3</v>
      </c>
      <c r="B34">
        <v>9</v>
      </c>
    </row>
    <row r="35" spans="1:2" x14ac:dyDescent="0.3">
      <c r="A35">
        <v>4.7</v>
      </c>
      <c r="B35">
        <v>20</v>
      </c>
    </row>
    <row r="36" spans="1:2" x14ac:dyDescent="0.3">
      <c r="A36">
        <v>4.5</v>
      </c>
      <c r="B36">
        <v>32</v>
      </c>
    </row>
    <row r="37" spans="1:2" x14ac:dyDescent="0.3">
      <c r="A37">
        <v>5</v>
      </c>
      <c r="B37">
        <v>1</v>
      </c>
    </row>
    <row r="38" spans="1:2" x14ac:dyDescent="0.3">
      <c r="A38">
        <v>5</v>
      </c>
      <c r="B38">
        <v>2</v>
      </c>
    </row>
    <row r="39" spans="1:2" x14ac:dyDescent="0.3">
      <c r="A39">
        <v>4.3</v>
      </c>
      <c r="B39">
        <v>36</v>
      </c>
    </row>
    <row r="40" spans="1:2" x14ac:dyDescent="0.3">
      <c r="A40">
        <v>4.5</v>
      </c>
      <c r="B40">
        <v>2</v>
      </c>
    </row>
    <row r="41" spans="1:2" x14ac:dyDescent="0.3">
      <c r="A41">
        <v>0</v>
      </c>
      <c r="B41">
        <v>0</v>
      </c>
    </row>
    <row r="42" spans="1:2" x14ac:dyDescent="0.3">
      <c r="A42">
        <v>0</v>
      </c>
      <c r="B42">
        <v>0</v>
      </c>
    </row>
    <row r="43" spans="1:2" x14ac:dyDescent="0.3">
      <c r="A43">
        <v>0</v>
      </c>
      <c r="B43">
        <v>0</v>
      </c>
    </row>
    <row r="44" spans="1:2" x14ac:dyDescent="0.3">
      <c r="A44">
        <v>0</v>
      </c>
      <c r="B44">
        <v>0</v>
      </c>
    </row>
    <row r="45" spans="1:2" x14ac:dyDescent="0.3">
      <c r="A45">
        <v>0</v>
      </c>
      <c r="B45">
        <v>0</v>
      </c>
    </row>
    <row r="46" spans="1:2" x14ac:dyDescent="0.3">
      <c r="A46">
        <v>0</v>
      </c>
      <c r="B46">
        <v>0</v>
      </c>
    </row>
    <row r="47" spans="1:2" x14ac:dyDescent="0.3">
      <c r="A47">
        <v>0</v>
      </c>
      <c r="B47">
        <v>0</v>
      </c>
    </row>
    <row r="48" spans="1:2" x14ac:dyDescent="0.3">
      <c r="A48">
        <v>0</v>
      </c>
      <c r="B48">
        <v>0</v>
      </c>
    </row>
    <row r="49" spans="1:2" x14ac:dyDescent="0.3">
      <c r="A49">
        <v>0</v>
      </c>
      <c r="B49">
        <v>0</v>
      </c>
    </row>
    <row r="50" spans="1:2" x14ac:dyDescent="0.3">
      <c r="A50">
        <v>0</v>
      </c>
      <c r="B50">
        <v>0</v>
      </c>
    </row>
    <row r="51" spans="1:2" x14ac:dyDescent="0.3">
      <c r="A51">
        <v>0</v>
      </c>
      <c r="B51">
        <v>0</v>
      </c>
    </row>
    <row r="52" spans="1:2" x14ac:dyDescent="0.3">
      <c r="A52">
        <v>0</v>
      </c>
      <c r="B52">
        <v>0</v>
      </c>
    </row>
    <row r="53" spans="1:2" x14ac:dyDescent="0.3">
      <c r="A53">
        <v>0</v>
      </c>
      <c r="B53">
        <v>0</v>
      </c>
    </row>
    <row r="54" spans="1:2" x14ac:dyDescent="0.3">
      <c r="A54">
        <v>0</v>
      </c>
      <c r="B54">
        <v>0</v>
      </c>
    </row>
    <row r="55" spans="1:2" x14ac:dyDescent="0.3">
      <c r="A55">
        <v>0</v>
      </c>
      <c r="B55">
        <v>0</v>
      </c>
    </row>
    <row r="56" spans="1:2" x14ac:dyDescent="0.3">
      <c r="A56">
        <v>0</v>
      </c>
      <c r="B56">
        <v>0</v>
      </c>
    </row>
    <row r="57" spans="1:2" x14ac:dyDescent="0.3">
      <c r="A57">
        <v>0</v>
      </c>
      <c r="B57">
        <v>0</v>
      </c>
    </row>
    <row r="58" spans="1:2" x14ac:dyDescent="0.3">
      <c r="A58">
        <v>0</v>
      </c>
      <c r="B58">
        <v>0</v>
      </c>
    </row>
    <row r="59" spans="1:2" x14ac:dyDescent="0.3">
      <c r="A59">
        <v>0</v>
      </c>
      <c r="B59">
        <v>0</v>
      </c>
    </row>
    <row r="60" spans="1:2" x14ac:dyDescent="0.3">
      <c r="A60">
        <v>0</v>
      </c>
      <c r="B60">
        <v>0</v>
      </c>
    </row>
    <row r="61" spans="1:2" x14ac:dyDescent="0.3">
      <c r="A61">
        <v>2.5</v>
      </c>
      <c r="B61">
        <v>6</v>
      </c>
    </row>
    <row r="62" spans="1:2" x14ac:dyDescent="0.3">
      <c r="A62">
        <v>3</v>
      </c>
      <c r="B62">
        <v>10</v>
      </c>
    </row>
    <row r="63" spans="1:2" x14ac:dyDescent="0.3">
      <c r="A63">
        <v>2.1</v>
      </c>
      <c r="B63">
        <v>13</v>
      </c>
    </row>
    <row r="64" spans="1:2" x14ac:dyDescent="0.3">
      <c r="A64">
        <v>2.8</v>
      </c>
      <c r="B64">
        <v>69</v>
      </c>
    </row>
    <row r="65" spans="1:2" x14ac:dyDescent="0.3">
      <c r="A65">
        <v>2.7</v>
      </c>
      <c r="B65">
        <v>15</v>
      </c>
    </row>
    <row r="66" spans="1:2" x14ac:dyDescent="0.3">
      <c r="A66">
        <v>2.9</v>
      </c>
      <c r="B66">
        <v>16</v>
      </c>
    </row>
    <row r="67" spans="1:2" x14ac:dyDescent="0.3">
      <c r="A67">
        <v>2.2000000000000002</v>
      </c>
      <c r="B67">
        <v>6</v>
      </c>
    </row>
    <row r="68" spans="1:2" x14ac:dyDescent="0.3">
      <c r="A68">
        <v>2.2999999999999998</v>
      </c>
      <c r="B68">
        <v>7</v>
      </c>
    </row>
    <row r="69" spans="1:2" x14ac:dyDescent="0.3">
      <c r="A69">
        <v>3</v>
      </c>
      <c r="B69">
        <v>5</v>
      </c>
    </row>
    <row r="70" spans="1:2" x14ac:dyDescent="0.3">
      <c r="A70">
        <v>2.6</v>
      </c>
      <c r="B70">
        <v>17</v>
      </c>
    </row>
    <row r="71" spans="1:2" x14ac:dyDescent="0.3">
      <c r="A71">
        <v>3</v>
      </c>
      <c r="B71">
        <v>5</v>
      </c>
    </row>
    <row r="72" spans="1:2" x14ac:dyDescent="0.3">
      <c r="A72">
        <v>2.2999999999999998</v>
      </c>
      <c r="B72">
        <v>6</v>
      </c>
    </row>
    <row r="73" spans="1:2" x14ac:dyDescent="0.3">
      <c r="A73">
        <v>3</v>
      </c>
      <c r="B73">
        <v>5</v>
      </c>
    </row>
    <row r="74" spans="1:2" x14ac:dyDescent="0.3">
      <c r="A74">
        <v>2.2000000000000002</v>
      </c>
      <c r="B74">
        <v>6</v>
      </c>
    </row>
    <row r="75" spans="1:2" x14ac:dyDescent="0.3">
      <c r="A75">
        <v>2.1</v>
      </c>
      <c r="B75">
        <v>7</v>
      </c>
    </row>
    <row r="76" spans="1:2" x14ac:dyDescent="0.3">
      <c r="A76">
        <v>0</v>
      </c>
      <c r="B76">
        <v>0</v>
      </c>
    </row>
    <row r="77" spans="1:2" x14ac:dyDescent="0.3">
      <c r="A77">
        <v>0</v>
      </c>
      <c r="B77">
        <v>0</v>
      </c>
    </row>
    <row r="78" spans="1:2" x14ac:dyDescent="0.3">
      <c r="A78">
        <v>0</v>
      </c>
      <c r="B78">
        <v>0</v>
      </c>
    </row>
    <row r="79" spans="1:2" x14ac:dyDescent="0.3">
      <c r="A79">
        <v>0</v>
      </c>
      <c r="B79">
        <v>0</v>
      </c>
    </row>
    <row r="80" spans="1:2" x14ac:dyDescent="0.3">
      <c r="A80">
        <v>3</v>
      </c>
      <c r="B80">
        <v>1</v>
      </c>
    </row>
    <row r="81" spans="1:2" x14ac:dyDescent="0.3">
      <c r="A81">
        <v>5</v>
      </c>
      <c r="B81">
        <v>1</v>
      </c>
    </row>
    <row r="82" spans="1:2" x14ac:dyDescent="0.3">
      <c r="A82">
        <v>0</v>
      </c>
      <c r="B82">
        <v>0</v>
      </c>
    </row>
    <row r="83" spans="1:2" x14ac:dyDescent="0.3">
      <c r="A83">
        <v>0</v>
      </c>
      <c r="B83">
        <v>0</v>
      </c>
    </row>
    <row r="84" spans="1:2" x14ac:dyDescent="0.3">
      <c r="A84">
        <v>4</v>
      </c>
      <c r="B84">
        <v>1</v>
      </c>
    </row>
    <row r="85" spans="1:2" x14ac:dyDescent="0.3">
      <c r="A85">
        <v>0</v>
      </c>
      <c r="B85">
        <v>0</v>
      </c>
    </row>
    <row r="86" spans="1:2" x14ac:dyDescent="0.3">
      <c r="A86">
        <v>0</v>
      </c>
      <c r="B86">
        <v>0</v>
      </c>
    </row>
    <row r="87" spans="1:2" x14ac:dyDescent="0.3">
      <c r="A87">
        <v>0</v>
      </c>
      <c r="B87">
        <v>0</v>
      </c>
    </row>
    <row r="88" spans="1:2" x14ac:dyDescent="0.3">
      <c r="A88">
        <v>0</v>
      </c>
      <c r="B88">
        <v>0</v>
      </c>
    </row>
    <row r="89" spans="1:2" x14ac:dyDescent="0.3">
      <c r="A89">
        <v>0</v>
      </c>
      <c r="B89">
        <v>0</v>
      </c>
    </row>
    <row r="90" spans="1:2" x14ac:dyDescent="0.3">
      <c r="A90">
        <v>0</v>
      </c>
      <c r="B90">
        <v>0</v>
      </c>
    </row>
    <row r="91" spans="1:2" x14ac:dyDescent="0.3">
      <c r="A91">
        <v>0</v>
      </c>
      <c r="B91">
        <v>0</v>
      </c>
    </row>
    <row r="92" spans="1:2" x14ac:dyDescent="0.3">
      <c r="A92">
        <v>0</v>
      </c>
      <c r="B92">
        <v>0</v>
      </c>
    </row>
    <row r="93" spans="1:2" x14ac:dyDescent="0.3">
      <c r="A93">
        <v>0</v>
      </c>
      <c r="B93">
        <v>0</v>
      </c>
    </row>
    <row r="94" spans="1:2" x14ac:dyDescent="0.3">
      <c r="A94">
        <v>0</v>
      </c>
      <c r="B94">
        <v>0</v>
      </c>
    </row>
    <row r="95" spans="1:2" x14ac:dyDescent="0.3">
      <c r="A95">
        <v>0</v>
      </c>
      <c r="B95">
        <v>0</v>
      </c>
    </row>
    <row r="96" spans="1:2" x14ac:dyDescent="0.3">
      <c r="A96">
        <v>0</v>
      </c>
      <c r="B96">
        <v>0</v>
      </c>
    </row>
    <row r="97" spans="1:2" x14ac:dyDescent="0.3">
      <c r="A97">
        <v>0</v>
      </c>
      <c r="B97">
        <v>0</v>
      </c>
    </row>
    <row r="98" spans="1:2" x14ac:dyDescent="0.3">
      <c r="A98">
        <v>0</v>
      </c>
      <c r="B98">
        <v>0</v>
      </c>
    </row>
    <row r="99" spans="1:2" x14ac:dyDescent="0.3">
      <c r="A99">
        <v>0</v>
      </c>
      <c r="B99">
        <v>0</v>
      </c>
    </row>
    <row r="100" spans="1:2" x14ac:dyDescent="0.3">
      <c r="A100">
        <v>0</v>
      </c>
      <c r="B100">
        <v>0</v>
      </c>
    </row>
    <row r="101" spans="1:2" x14ac:dyDescent="0.3">
      <c r="A101">
        <v>0</v>
      </c>
      <c r="B101">
        <v>0</v>
      </c>
    </row>
    <row r="102" spans="1:2" x14ac:dyDescent="0.3">
      <c r="A102">
        <v>0</v>
      </c>
      <c r="B102">
        <v>0</v>
      </c>
    </row>
    <row r="103" spans="1:2" x14ac:dyDescent="0.3">
      <c r="A103">
        <v>5</v>
      </c>
      <c r="B103">
        <v>1</v>
      </c>
    </row>
    <row r="104" spans="1:2" x14ac:dyDescent="0.3">
      <c r="A104">
        <v>0</v>
      </c>
      <c r="B104">
        <v>0</v>
      </c>
    </row>
    <row r="105" spans="1:2" x14ac:dyDescent="0.3">
      <c r="A105">
        <v>0</v>
      </c>
      <c r="B105">
        <v>0</v>
      </c>
    </row>
    <row r="106" spans="1:2" x14ac:dyDescent="0.3">
      <c r="A106">
        <v>0</v>
      </c>
      <c r="B106">
        <v>0</v>
      </c>
    </row>
    <row r="107" spans="1:2" x14ac:dyDescent="0.3">
      <c r="A107">
        <v>0</v>
      </c>
      <c r="B107">
        <v>0</v>
      </c>
    </row>
    <row r="108" spans="1:2" x14ac:dyDescent="0.3">
      <c r="A108">
        <v>0</v>
      </c>
      <c r="B108">
        <v>0</v>
      </c>
    </row>
    <row r="109" spans="1:2" x14ac:dyDescent="0.3">
      <c r="A109">
        <v>0</v>
      </c>
      <c r="B109">
        <v>0</v>
      </c>
    </row>
    <row r="110" spans="1:2" x14ac:dyDescent="0.3">
      <c r="A110">
        <v>0</v>
      </c>
      <c r="B110">
        <v>0</v>
      </c>
    </row>
    <row r="111" spans="1:2" x14ac:dyDescent="0.3">
      <c r="A111">
        <v>0</v>
      </c>
      <c r="B111">
        <v>0</v>
      </c>
    </row>
    <row r="112" spans="1:2" x14ac:dyDescent="0.3">
      <c r="A112">
        <v>2</v>
      </c>
      <c r="B112">
        <v>1</v>
      </c>
    </row>
    <row r="113" spans="1:2" x14ac:dyDescent="0.3">
      <c r="A113">
        <v>0</v>
      </c>
      <c r="B113">
        <v>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B224-7B99-4B7C-9657-EEE4FD70365E}">
  <dimension ref="A1:K113"/>
  <sheetViews>
    <sheetView topLeftCell="A5" workbookViewId="0">
      <selection activeCell="I28" sqref="I28"/>
    </sheetView>
  </sheetViews>
  <sheetFormatPr defaultRowHeight="14.4" x14ac:dyDescent="0.3"/>
  <cols>
    <col min="1" max="1" width="10.6640625" bestFit="1" customWidth="1"/>
  </cols>
  <sheetData>
    <row r="1" spans="1:2" x14ac:dyDescent="0.3">
      <c r="A1" t="s">
        <v>324</v>
      </c>
      <c r="B1" t="s">
        <v>4</v>
      </c>
    </row>
    <row r="2" spans="1:2" x14ac:dyDescent="0.3">
      <c r="A2">
        <v>0.38</v>
      </c>
      <c r="B2">
        <v>2</v>
      </c>
    </row>
    <row r="3" spans="1:2" x14ac:dyDescent="0.3">
      <c r="A3">
        <v>0.47</v>
      </c>
      <c r="B3">
        <v>14</v>
      </c>
    </row>
    <row r="4" spans="1:2" x14ac:dyDescent="0.3">
      <c r="A4">
        <v>0.25</v>
      </c>
      <c r="B4">
        <v>24</v>
      </c>
    </row>
    <row r="5" spans="1:2" x14ac:dyDescent="0.3">
      <c r="A5">
        <v>0.37</v>
      </c>
      <c r="B5">
        <v>7</v>
      </c>
    </row>
    <row r="6" spans="1:2" x14ac:dyDescent="0.3">
      <c r="A6">
        <v>0.26</v>
      </c>
      <c r="B6">
        <v>5</v>
      </c>
    </row>
    <row r="7" spans="1:2" x14ac:dyDescent="0.3">
      <c r="A7">
        <v>0.09</v>
      </c>
      <c r="B7">
        <v>15</v>
      </c>
    </row>
    <row r="8" spans="1:2" x14ac:dyDescent="0.3">
      <c r="A8">
        <v>0.24</v>
      </c>
      <c r="B8">
        <v>55</v>
      </c>
    </row>
    <row r="9" spans="1:2" x14ac:dyDescent="0.3">
      <c r="A9">
        <v>0.37</v>
      </c>
      <c r="B9">
        <v>2</v>
      </c>
    </row>
    <row r="10" spans="1:2" x14ac:dyDescent="0.3">
      <c r="A10">
        <v>0.55000000000000004</v>
      </c>
      <c r="B10">
        <v>5</v>
      </c>
    </row>
    <row r="11" spans="1:2" x14ac:dyDescent="0.3">
      <c r="A11">
        <v>0.45</v>
      </c>
      <c r="B11">
        <v>5</v>
      </c>
    </row>
    <row r="12" spans="1:2" x14ac:dyDescent="0.3">
      <c r="A12">
        <v>0.2</v>
      </c>
      <c r="B12">
        <v>12</v>
      </c>
    </row>
    <row r="13" spans="1:2" x14ac:dyDescent="0.3">
      <c r="A13">
        <v>0.34</v>
      </c>
      <c r="B13">
        <v>39</v>
      </c>
    </row>
    <row r="14" spans="1:2" x14ac:dyDescent="0.3">
      <c r="A14">
        <v>0.47</v>
      </c>
      <c r="B14">
        <v>12</v>
      </c>
    </row>
    <row r="15" spans="1:2" x14ac:dyDescent="0.3">
      <c r="A15">
        <v>0.42</v>
      </c>
      <c r="B15">
        <v>6</v>
      </c>
    </row>
    <row r="16" spans="1:2" x14ac:dyDescent="0.3">
      <c r="A16">
        <v>0.33</v>
      </c>
      <c r="B16">
        <v>9</v>
      </c>
    </row>
    <row r="17" spans="1:11" x14ac:dyDescent="0.3">
      <c r="A17">
        <v>0.51</v>
      </c>
      <c r="B17">
        <v>2</v>
      </c>
    </row>
    <row r="18" spans="1:11" x14ac:dyDescent="0.3">
      <c r="A18">
        <v>0.46</v>
      </c>
      <c r="B18">
        <v>2</v>
      </c>
    </row>
    <row r="19" spans="1:11" x14ac:dyDescent="0.3">
      <c r="A19">
        <v>0.49</v>
      </c>
      <c r="B19">
        <v>3</v>
      </c>
    </row>
    <row r="20" spans="1:11" x14ac:dyDescent="0.3">
      <c r="A20">
        <v>0.19</v>
      </c>
      <c r="B20">
        <v>5</v>
      </c>
    </row>
    <row r="21" spans="1:11" x14ac:dyDescent="0.3">
      <c r="A21">
        <v>0.49</v>
      </c>
      <c r="B21">
        <v>44</v>
      </c>
    </row>
    <row r="22" spans="1:11" x14ac:dyDescent="0.3">
      <c r="A22">
        <v>0.53</v>
      </c>
      <c r="B22">
        <v>13</v>
      </c>
      <c r="H22" t="s">
        <v>353</v>
      </c>
    </row>
    <row r="23" spans="1:11" x14ac:dyDescent="0.3">
      <c r="A23">
        <v>0.42</v>
      </c>
      <c r="B23">
        <v>0</v>
      </c>
      <c r="H23" t="s">
        <v>352</v>
      </c>
    </row>
    <row r="24" spans="1:11" x14ac:dyDescent="0.3">
      <c r="A24">
        <v>0.35</v>
      </c>
      <c r="B24">
        <v>6</v>
      </c>
    </row>
    <row r="25" spans="1:11" x14ac:dyDescent="0.3">
      <c r="A25">
        <v>0.23</v>
      </c>
      <c r="B25">
        <v>14</v>
      </c>
    </row>
    <row r="26" spans="1:11" x14ac:dyDescent="0.3">
      <c r="A26">
        <v>0.54</v>
      </c>
      <c r="B26">
        <v>7</v>
      </c>
      <c r="J26" t="s">
        <v>354</v>
      </c>
      <c r="K26">
        <f>CORREL(A2:A113,B2:B113)</f>
        <v>1.2188797350860767E-2</v>
      </c>
    </row>
    <row r="27" spans="1:11" x14ac:dyDescent="0.3">
      <c r="A27">
        <v>0.35</v>
      </c>
      <c r="B27">
        <v>49</v>
      </c>
    </row>
    <row r="28" spans="1:11" x14ac:dyDescent="0.3">
      <c r="A28">
        <v>0.18</v>
      </c>
      <c r="B28">
        <v>12</v>
      </c>
      <c r="I28" t="s">
        <v>355</v>
      </c>
    </row>
    <row r="29" spans="1:11" x14ac:dyDescent="0.3">
      <c r="A29">
        <v>0.32</v>
      </c>
      <c r="B29">
        <v>13</v>
      </c>
    </row>
    <row r="30" spans="1:11" x14ac:dyDescent="0.3">
      <c r="A30">
        <v>0.3</v>
      </c>
      <c r="B30">
        <v>20</v>
      </c>
    </row>
    <row r="31" spans="1:11" x14ac:dyDescent="0.3">
      <c r="A31">
        <v>0.46</v>
      </c>
      <c r="B31">
        <v>0</v>
      </c>
    </row>
    <row r="32" spans="1:11" x14ac:dyDescent="0.3">
      <c r="A32">
        <v>0.52</v>
      </c>
      <c r="B32">
        <v>9</v>
      </c>
    </row>
    <row r="33" spans="1:2" x14ac:dyDescent="0.3">
      <c r="A33">
        <v>0.34</v>
      </c>
      <c r="B33">
        <v>12</v>
      </c>
    </row>
    <row r="34" spans="1:2" x14ac:dyDescent="0.3">
      <c r="A34">
        <v>0.48</v>
      </c>
      <c r="B34">
        <v>9</v>
      </c>
    </row>
    <row r="35" spans="1:2" x14ac:dyDescent="0.3">
      <c r="A35">
        <v>0.27</v>
      </c>
      <c r="B35">
        <v>20</v>
      </c>
    </row>
    <row r="36" spans="1:2" x14ac:dyDescent="0.3">
      <c r="A36">
        <v>0.27</v>
      </c>
      <c r="B36">
        <v>32</v>
      </c>
    </row>
    <row r="37" spans="1:2" x14ac:dyDescent="0.3">
      <c r="A37">
        <v>0.4</v>
      </c>
      <c r="B37">
        <v>1</v>
      </c>
    </row>
    <row r="38" spans="1:2" x14ac:dyDescent="0.3">
      <c r="A38">
        <v>0.53</v>
      </c>
      <c r="B38">
        <v>2</v>
      </c>
    </row>
    <row r="39" spans="1:2" x14ac:dyDescent="0.3">
      <c r="A39">
        <v>0.41</v>
      </c>
      <c r="B39">
        <v>36</v>
      </c>
    </row>
    <row r="40" spans="1:2" x14ac:dyDescent="0.3">
      <c r="A40">
        <v>0.38</v>
      </c>
      <c r="B40">
        <v>2</v>
      </c>
    </row>
    <row r="41" spans="1:2" x14ac:dyDescent="0.3">
      <c r="A41">
        <v>0.38</v>
      </c>
      <c r="B41">
        <v>0</v>
      </c>
    </row>
    <row r="42" spans="1:2" x14ac:dyDescent="0.3">
      <c r="A42">
        <v>0.49</v>
      </c>
      <c r="B42">
        <v>0</v>
      </c>
    </row>
    <row r="43" spans="1:2" x14ac:dyDescent="0.3">
      <c r="A43">
        <v>0.5</v>
      </c>
      <c r="B43">
        <v>0</v>
      </c>
    </row>
    <row r="44" spans="1:2" x14ac:dyDescent="0.3">
      <c r="A44">
        <v>0.42</v>
      </c>
      <c r="B44">
        <v>0</v>
      </c>
    </row>
    <row r="45" spans="1:2" x14ac:dyDescent="0.3">
      <c r="A45">
        <v>0.02</v>
      </c>
      <c r="B45">
        <v>0</v>
      </c>
    </row>
    <row r="46" spans="1:2" x14ac:dyDescent="0.3">
      <c r="A46">
        <v>0.5</v>
      </c>
      <c r="B46">
        <v>0</v>
      </c>
    </row>
    <row r="47" spans="1:2" x14ac:dyDescent="0.3">
      <c r="A47">
        <v>0.33</v>
      </c>
      <c r="B47">
        <v>0</v>
      </c>
    </row>
    <row r="48" spans="1:2" x14ac:dyDescent="0.3">
      <c r="A48">
        <v>0.49</v>
      </c>
      <c r="B48">
        <v>0</v>
      </c>
    </row>
    <row r="49" spans="1:2" x14ac:dyDescent="0.3">
      <c r="A49">
        <v>0.38</v>
      </c>
      <c r="B49">
        <v>0</v>
      </c>
    </row>
    <row r="50" spans="1:2" x14ac:dyDescent="0.3">
      <c r="A50">
        <v>0.61</v>
      </c>
      <c r="B50">
        <v>0</v>
      </c>
    </row>
    <row r="51" spans="1:2" x14ac:dyDescent="0.3">
      <c r="A51">
        <v>0.5</v>
      </c>
      <c r="B51">
        <v>0</v>
      </c>
    </row>
    <row r="52" spans="1:2" x14ac:dyDescent="0.3">
      <c r="A52">
        <v>0.02</v>
      </c>
      <c r="B52">
        <v>0</v>
      </c>
    </row>
    <row r="53" spans="1:2" x14ac:dyDescent="0.3">
      <c r="A53">
        <v>0.22</v>
      </c>
      <c r="B53">
        <v>0</v>
      </c>
    </row>
    <row r="54" spans="1:2" x14ac:dyDescent="0.3">
      <c r="A54">
        <v>0.03</v>
      </c>
      <c r="B54">
        <v>0</v>
      </c>
    </row>
    <row r="55" spans="1:2" x14ac:dyDescent="0.3">
      <c r="A55">
        <v>0.41</v>
      </c>
      <c r="B55">
        <v>0</v>
      </c>
    </row>
    <row r="56" spans="1:2" x14ac:dyDescent="0.3">
      <c r="A56">
        <v>0.45</v>
      </c>
      <c r="B56">
        <v>0</v>
      </c>
    </row>
    <row r="57" spans="1:2" x14ac:dyDescent="0.3">
      <c r="A57">
        <v>0.48</v>
      </c>
      <c r="B57">
        <v>0</v>
      </c>
    </row>
    <row r="58" spans="1:2" x14ac:dyDescent="0.3">
      <c r="A58">
        <v>0.49</v>
      </c>
      <c r="B58">
        <v>0</v>
      </c>
    </row>
    <row r="59" spans="1:2" x14ac:dyDescent="0.3">
      <c r="A59">
        <v>0.27</v>
      </c>
      <c r="B59">
        <v>0</v>
      </c>
    </row>
    <row r="60" spans="1:2" x14ac:dyDescent="0.3">
      <c r="A60">
        <v>0.55000000000000004</v>
      </c>
      <c r="B60">
        <v>0</v>
      </c>
    </row>
    <row r="61" spans="1:2" x14ac:dyDescent="0.3">
      <c r="A61">
        <v>0.13</v>
      </c>
      <c r="B61">
        <v>6</v>
      </c>
    </row>
    <row r="62" spans="1:2" x14ac:dyDescent="0.3">
      <c r="A62">
        <v>0.54</v>
      </c>
      <c r="B62">
        <v>10</v>
      </c>
    </row>
    <row r="63" spans="1:2" x14ac:dyDescent="0.3">
      <c r="A63">
        <v>0.55000000000000004</v>
      </c>
      <c r="B63">
        <v>13</v>
      </c>
    </row>
    <row r="64" spans="1:2" x14ac:dyDescent="0.3">
      <c r="A64">
        <v>0.49</v>
      </c>
      <c r="B64">
        <v>69</v>
      </c>
    </row>
    <row r="65" spans="1:2" x14ac:dyDescent="0.3">
      <c r="A65">
        <v>0.52</v>
      </c>
      <c r="B65">
        <v>15</v>
      </c>
    </row>
    <row r="66" spans="1:2" x14ac:dyDescent="0.3">
      <c r="A66">
        <v>0.22</v>
      </c>
      <c r="B66">
        <v>16</v>
      </c>
    </row>
    <row r="67" spans="1:2" x14ac:dyDescent="0.3">
      <c r="A67">
        <v>0.45</v>
      </c>
      <c r="B67">
        <v>6</v>
      </c>
    </row>
    <row r="68" spans="1:2" x14ac:dyDescent="0.3">
      <c r="A68">
        <v>0.5</v>
      </c>
      <c r="B68">
        <v>7</v>
      </c>
    </row>
    <row r="69" spans="1:2" x14ac:dyDescent="0.3">
      <c r="A69">
        <v>0.39</v>
      </c>
      <c r="B69">
        <v>5</v>
      </c>
    </row>
    <row r="70" spans="1:2" x14ac:dyDescent="0.3">
      <c r="A70">
        <v>0.45</v>
      </c>
      <c r="B70">
        <v>17</v>
      </c>
    </row>
    <row r="71" spans="1:2" x14ac:dyDescent="0.3">
      <c r="A71">
        <v>0.28999999999999998</v>
      </c>
      <c r="B71">
        <v>5</v>
      </c>
    </row>
    <row r="72" spans="1:2" x14ac:dyDescent="0.3">
      <c r="A72">
        <v>0.43</v>
      </c>
      <c r="B72">
        <v>6</v>
      </c>
    </row>
    <row r="73" spans="1:2" x14ac:dyDescent="0.3">
      <c r="A73">
        <v>0.43</v>
      </c>
      <c r="B73">
        <v>5</v>
      </c>
    </row>
    <row r="74" spans="1:2" x14ac:dyDescent="0.3">
      <c r="A74">
        <v>0.47</v>
      </c>
      <c r="B74">
        <v>6</v>
      </c>
    </row>
    <row r="75" spans="1:2" x14ac:dyDescent="0.3">
      <c r="A75">
        <v>0.47</v>
      </c>
      <c r="B75">
        <v>7</v>
      </c>
    </row>
    <row r="76" spans="1:2" x14ac:dyDescent="0.3">
      <c r="A76">
        <v>0.47</v>
      </c>
      <c r="B76">
        <v>0</v>
      </c>
    </row>
    <row r="77" spans="1:2" x14ac:dyDescent="0.3">
      <c r="A77">
        <v>0.43</v>
      </c>
      <c r="B77">
        <v>0</v>
      </c>
    </row>
    <row r="78" spans="1:2" x14ac:dyDescent="0.3">
      <c r="A78">
        <v>0.04</v>
      </c>
      <c r="B78">
        <v>0</v>
      </c>
    </row>
    <row r="79" spans="1:2" x14ac:dyDescent="0.3">
      <c r="A79">
        <v>0.49</v>
      </c>
      <c r="B79">
        <v>0</v>
      </c>
    </row>
    <row r="80" spans="1:2" x14ac:dyDescent="0.3">
      <c r="A80">
        <v>0.46</v>
      </c>
      <c r="B80">
        <v>1</v>
      </c>
    </row>
    <row r="81" spans="1:2" x14ac:dyDescent="0.3">
      <c r="A81">
        <v>0.49</v>
      </c>
      <c r="B81">
        <v>1</v>
      </c>
    </row>
    <row r="82" spans="1:2" x14ac:dyDescent="0.3">
      <c r="A82">
        <v>0.36</v>
      </c>
      <c r="B82">
        <v>0</v>
      </c>
    </row>
    <row r="83" spans="1:2" x14ac:dyDescent="0.3">
      <c r="A83">
        <v>0.02</v>
      </c>
      <c r="B83">
        <v>0</v>
      </c>
    </row>
    <row r="84" spans="1:2" x14ac:dyDescent="0.3">
      <c r="A84">
        <v>0.49</v>
      </c>
      <c r="B84">
        <v>1</v>
      </c>
    </row>
    <row r="85" spans="1:2" x14ac:dyDescent="0.3">
      <c r="A85">
        <v>0.49</v>
      </c>
      <c r="B85">
        <v>0</v>
      </c>
    </row>
    <row r="86" spans="1:2" x14ac:dyDescent="0.3">
      <c r="A86">
        <v>0.14000000000000001</v>
      </c>
      <c r="B86">
        <v>0</v>
      </c>
    </row>
    <row r="87" spans="1:2" x14ac:dyDescent="0.3">
      <c r="A87">
        <v>0.49</v>
      </c>
      <c r="B87">
        <v>0</v>
      </c>
    </row>
    <row r="88" spans="1:2" x14ac:dyDescent="0.3">
      <c r="A88">
        <v>0.11</v>
      </c>
      <c r="B88">
        <v>0</v>
      </c>
    </row>
    <row r="89" spans="1:2" x14ac:dyDescent="0.3">
      <c r="A89">
        <v>0.49</v>
      </c>
      <c r="B89">
        <v>0</v>
      </c>
    </row>
    <row r="90" spans="1:2" x14ac:dyDescent="0.3">
      <c r="A90">
        <v>0.14000000000000001</v>
      </c>
      <c r="B90">
        <v>0</v>
      </c>
    </row>
    <row r="91" spans="1:2" x14ac:dyDescent="0.3">
      <c r="A91">
        <v>0.43</v>
      </c>
      <c r="B91">
        <v>0</v>
      </c>
    </row>
    <row r="92" spans="1:2" x14ac:dyDescent="0.3">
      <c r="A92">
        <v>0.5</v>
      </c>
      <c r="B92">
        <v>0</v>
      </c>
    </row>
    <row r="93" spans="1:2" x14ac:dyDescent="0.3">
      <c r="A93">
        <v>0.48</v>
      </c>
      <c r="B93">
        <v>0</v>
      </c>
    </row>
    <row r="94" spans="1:2" x14ac:dyDescent="0.3">
      <c r="A94">
        <v>0.48</v>
      </c>
      <c r="B94">
        <v>0</v>
      </c>
    </row>
    <row r="95" spans="1:2" x14ac:dyDescent="0.3">
      <c r="A95">
        <v>0.47</v>
      </c>
      <c r="B95">
        <v>0</v>
      </c>
    </row>
    <row r="96" spans="1:2" x14ac:dyDescent="0.3">
      <c r="A96">
        <v>0.5</v>
      </c>
      <c r="B96">
        <v>0</v>
      </c>
    </row>
    <row r="97" spans="1:2" x14ac:dyDescent="0.3">
      <c r="A97">
        <v>0.08</v>
      </c>
      <c r="B97">
        <v>0</v>
      </c>
    </row>
    <row r="98" spans="1:2" x14ac:dyDescent="0.3">
      <c r="A98">
        <v>0.02</v>
      </c>
      <c r="B98">
        <v>0</v>
      </c>
    </row>
    <row r="99" spans="1:2" x14ac:dyDescent="0.3">
      <c r="A99">
        <v>0.49</v>
      </c>
      <c r="B99">
        <v>0</v>
      </c>
    </row>
    <row r="100" spans="1:2" x14ac:dyDescent="0.3">
      <c r="A100">
        <v>0.04</v>
      </c>
      <c r="B100">
        <v>0</v>
      </c>
    </row>
    <row r="101" spans="1:2" x14ac:dyDescent="0.3">
      <c r="A101">
        <v>0.49</v>
      </c>
      <c r="B101">
        <v>0</v>
      </c>
    </row>
    <row r="102" spans="1:2" x14ac:dyDescent="0.3">
      <c r="A102">
        <v>0.42</v>
      </c>
      <c r="B102">
        <v>0</v>
      </c>
    </row>
    <row r="103" spans="1:2" x14ac:dyDescent="0.3">
      <c r="A103">
        <v>0.21</v>
      </c>
      <c r="B103">
        <v>1</v>
      </c>
    </row>
    <row r="104" spans="1:2" x14ac:dyDescent="0.3">
      <c r="A104">
        <v>0.41</v>
      </c>
      <c r="B104">
        <v>0</v>
      </c>
    </row>
    <row r="105" spans="1:2" x14ac:dyDescent="0.3">
      <c r="A105">
        <v>0.01</v>
      </c>
      <c r="B105">
        <v>0</v>
      </c>
    </row>
    <row r="106" spans="1:2" x14ac:dyDescent="0.3">
      <c r="A106">
        <v>0.24</v>
      </c>
      <c r="B106">
        <v>0</v>
      </c>
    </row>
    <row r="107" spans="1:2" x14ac:dyDescent="0.3">
      <c r="A107">
        <v>0.34</v>
      </c>
      <c r="B107">
        <v>0</v>
      </c>
    </row>
    <row r="108" spans="1:2" x14ac:dyDescent="0.3">
      <c r="A108">
        <v>0.34</v>
      </c>
      <c r="B108">
        <v>0</v>
      </c>
    </row>
    <row r="109" spans="1:2" x14ac:dyDescent="0.3">
      <c r="A109">
        <v>0.02</v>
      </c>
      <c r="B109">
        <v>0</v>
      </c>
    </row>
    <row r="110" spans="1:2" x14ac:dyDescent="0.3">
      <c r="A110">
        <v>0.02</v>
      </c>
      <c r="B110">
        <v>0</v>
      </c>
    </row>
    <row r="111" spans="1:2" x14ac:dyDescent="0.3">
      <c r="A111">
        <v>0.64</v>
      </c>
      <c r="B111">
        <v>0</v>
      </c>
    </row>
    <row r="112" spans="1:2" x14ac:dyDescent="0.3">
      <c r="A112">
        <v>0.5</v>
      </c>
      <c r="B112">
        <v>1</v>
      </c>
    </row>
    <row r="113" spans="1:2" x14ac:dyDescent="0.3">
      <c r="A113">
        <v>0.47</v>
      </c>
      <c r="B113">
        <v>0</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9431B-358E-4556-BDAD-2ECE604A85F6}">
  <dimension ref="A1:F5"/>
  <sheetViews>
    <sheetView workbookViewId="0">
      <selection activeCell="E2" sqref="E2"/>
    </sheetView>
  </sheetViews>
  <sheetFormatPr defaultRowHeight="14.4" x14ac:dyDescent="0.3"/>
  <cols>
    <col min="1" max="1" width="12.6640625" bestFit="1" customWidth="1"/>
    <col min="2" max="2" width="15.6640625" bestFit="1" customWidth="1"/>
    <col min="3" max="3" width="12.109375" bestFit="1" customWidth="1"/>
    <col min="4" max="6" width="12" bestFit="1" customWidth="1"/>
  </cols>
  <sheetData>
    <row r="1" spans="1:6" s="5" customFormat="1" x14ac:dyDescent="0.3">
      <c r="B1" s="6" t="s">
        <v>330</v>
      </c>
      <c r="C1" s="6" t="s">
        <v>331</v>
      </c>
      <c r="D1" s="7" t="s">
        <v>324</v>
      </c>
      <c r="E1" s="6" t="s">
        <v>4</v>
      </c>
      <c r="F1" s="8" t="s">
        <v>326</v>
      </c>
    </row>
    <row r="2" spans="1:6" x14ac:dyDescent="0.3">
      <c r="A2" t="s">
        <v>335</v>
      </c>
      <c r="B2">
        <v>1181.3693693693695</v>
      </c>
      <c r="C2">
        <v>1803.099099099099</v>
      </c>
      <c r="D2">
        <v>0.36776785714285715</v>
      </c>
      <c r="E2">
        <f>E5/113</f>
        <v>6.3982300884955752</v>
      </c>
      <c r="F2" s="4">
        <v>1.9794642857142855</v>
      </c>
    </row>
    <row r="3" spans="1:6" x14ac:dyDescent="0.3">
      <c r="A3" t="s">
        <v>336</v>
      </c>
      <c r="B3">
        <v>3750</v>
      </c>
      <c r="C3">
        <v>6143</v>
      </c>
      <c r="D3">
        <v>0.64</v>
      </c>
      <c r="E3">
        <v>69</v>
      </c>
      <c r="F3">
        <v>5</v>
      </c>
    </row>
    <row r="4" spans="1:6" x14ac:dyDescent="0.3">
      <c r="A4" t="s">
        <v>337</v>
      </c>
      <c r="B4">
        <v>38</v>
      </c>
      <c r="C4">
        <v>80</v>
      </c>
      <c r="D4">
        <v>0.01</v>
      </c>
      <c r="E4">
        <v>0</v>
      </c>
      <c r="F4">
        <v>0</v>
      </c>
    </row>
    <row r="5" spans="1:6" x14ac:dyDescent="0.3">
      <c r="A5" t="s">
        <v>338</v>
      </c>
      <c r="B5">
        <v>131132</v>
      </c>
      <c r="C5">
        <v>200144</v>
      </c>
      <c r="D5">
        <v>41.19</v>
      </c>
      <c r="E5">
        <v>723</v>
      </c>
      <c r="F5">
        <v>221.69999999999996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Excel_jumia (1)</vt:lpstr>
      <vt:lpstr>product(avg disc&amp;rating</vt:lpstr>
      <vt:lpstr>product(disc)</vt:lpstr>
      <vt:lpstr>product(review)</vt:lpstr>
      <vt:lpstr>avg rating&amp;review(prod)</vt:lpstr>
      <vt:lpstr>avg revie(product)</vt:lpstr>
      <vt:lpstr>Sheet2</vt:lpstr>
      <vt:lpstr>Dashboard</vt:lpstr>
      <vt:lpstr>Tables</vt:lpstr>
      <vt:lpstr>5 high ratin</vt:lpstr>
      <vt:lpstr>5 low rating</vt:lpstr>
      <vt:lpstr>analysis(rating$reviews</vt:lpstr>
      <vt:lpstr>analysis(disc$reviews</vt:lpstr>
      <vt:lpstr>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dc:creator>
  <cp:lastModifiedBy>Wycliffe gekara</cp:lastModifiedBy>
  <dcterms:created xsi:type="dcterms:W3CDTF">2025-08-09T19:48:12Z</dcterms:created>
  <dcterms:modified xsi:type="dcterms:W3CDTF">2025-08-30T17:42:32Z</dcterms:modified>
</cp:coreProperties>
</file>